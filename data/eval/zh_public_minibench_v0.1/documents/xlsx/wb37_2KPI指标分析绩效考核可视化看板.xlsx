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drawingml.chart+xml" PartName="/xl/charts/chart3.xml"/>
  <Override ContentType="application/vnd.ms-office.chartstyle+xml" PartName="/xl/charts/style3.xml"/>
  <Override ContentType="application/vnd.ms-office.chartcolorstyle+xml" PartName="/xl/charts/colors3.xml"/>
  <Override ContentType="application/vnd.openxmlformats-officedocument.drawingml.chart+xml" PartName="/xl/charts/chart4.xml"/>
  <Override ContentType="application/vnd.ms-office.chartstyle+xml" PartName="/xl/charts/style4.xml"/>
  <Override ContentType="application/vnd.ms-office.chartcolorstyle+xml" PartName="/xl/charts/colors4.xml"/>
  <Override ContentType="application/vnd.openxmlformats-officedocument.drawingml.chart+xml" PartName="/xl/charts/chart5.xml"/>
  <Override ContentType="application/vnd.ms-office.chartstyle+xml" PartName="/xl/charts/style5.xml"/>
  <Override ContentType="application/vnd.ms-office.chartcolorstyle+xml" PartName="/xl/charts/colors5.xml"/>
  <Override ContentType="application/vnd.openxmlformats-officedocument.drawingml.chart+xml" PartName="/xl/charts/chart6.xml"/>
  <Override ContentType="application/vnd.ms-office.chartstyle+xml" PartName="/xl/charts/style6.xml"/>
  <Override ContentType="application/vnd.ms-office.chartcolorstyle+xml" PartName="/xl/charts/colors6.xml"/>
  <Override ContentType="application/vnd.openxmlformats-officedocument.drawingml.chart+xml" PartName="/xl/charts/chart7.xml"/>
  <Override ContentType="application/vnd.ms-office.chartstyle+xml" PartName="/xl/charts/style7.xml"/>
  <Override ContentType="application/vnd.ms-office.chartcolorstyle+xml" PartName="/xl/charts/colors7.xml"/>
  <Override ContentType="application/vnd.openxmlformats-officedocument.drawingml.chart+xml" PartName="/xl/charts/chart8.xml"/>
  <Override ContentType="application/vnd.ms-office.chartstyle+xml" PartName="/xl/charts/style8.xml"/>
  <Override ContentType="application/vnd.ms-office.chartcolorstyle+xml" PartName="/xl/charts/colors8.xml"/>
  <Override ContentType="application/vnd.openxmlformats-officedocument.drawingml.chart+xml" PartName="/xl/charts/chart9.xml"/>
  <Override ContentType="application/vnd.ms-office.chartstyle+xml" PartName="/xl/charts/style9.xml"/>
  <Override ContentType="application/vnd.ms-office.chartcolorstyle+xml" PartName="/xl/charts/colors9.xml"/>
  <Override ContentType="application/vnd.openxmlformats-officedocument.drawingml.chart+xml" PartName="/xl/charts/chart10.xml"/>
  <Override ContentType="application/vnd.ms-office.chartstyle+xml" PartName="/xl/charts/style10.xml"/>
  <Override ContentType="application/vnd.ms-office.chartcolorstyle+xml" PartName="/xl/charts/colors10.xml"/>
  <Override ContentType="application/vnd.openxmlformats-officedocument.spreadsheetml.calcChain+xml" PartName="/xl/calcChain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'1.0' encoding='UTF-8' standalone='yes'?>
<Relationships xmlns="http://schemas.openxmlformats.org/package/2006/relationships">
 <Relationship Target="docProps/app.xml" Type="http://schemas.openxmlformats.org/officeDocument/2006/relationships/extended-properties" Id="rId3"/>
 <Relationship Target="docProps/core.xml" Type="http://schemas.openxmlformats.org/package/2006/relationships/metadata/core-properties" Id="rId2"/>
 <Relationship Target="xl/workbook.xml" Type="http://schemas.openxmlformats.org/officeDocument/2006/relationships/officeDocument" Id="rId1"/>
 <Relationship Target="docProps/custom.xml" Type="http://schemas.openxmlformats.org/officeDocument/2006/relationships/custom-properties" Id="rId4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KPI指标分析绩效考核可视化看板\"/>
    </mc:Choice>
  </mc:AlternateContent>
  <xr:revisionPtr revIDLastSave="0" documentId="13_ncr:1_{5944D146-9DF8-4D94-8A90-6B3CA1E46C4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看板" sheetId="6" r:id="rId1"/>
    <sheet name="KPI指标及权重设计表" sheetId="1" r:id="rId2"/>
    <sheet name="员工业绩" sheetId="3" r:id="rId3"/>
    <sheet name="考核汇总表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3" l="1"/>
  <c r="R6" i="3" s="1"/>
  <c r="D6" i="2" s="1"/>
  <c r="N7" i="3"/>
  <c r="N8" i="3"/>
  <c r="N9" i="3"/>
  <c r="N10" i="3"/>
  <c r="R10" i="3" s="1"/>
  <c r="H6" i="2" s="1"/>
  <c r="N11" i="3"/>
  <c r="N12" i="3"/>
  <c r="N13" i="3"/>
  <c r="N14" i="3"/>
  <c r="Q14" i="3" s="1"/>
  <c r="M5" i="2" s="1"/>
  <c r="N15" i="3"/>
  <c r="N16" i="3"/>
  <c r="N17" i="3"/>
  <c r="N18" i="3"/>
  <c r="R18" i="3" s="1"/>
  <c r="Q6" i="2" s="1"/>
  <c r="N19" i="3"/>
  <c r="N20" i="3"/>
  <c r="N21" i="3"/>
  <c r="N22" i="3"/>
  <c r="N23" i="3"/>
  <c r="N24" i="3"/>
  <c r="N25" i="3"/>
  <c r="N26" i="3"/>
  <c r="N27" i="3"/>
  <c r="N28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5" i="3"/>
  <c r="M56" i="3"/>
  <c r="S56" i="3" s="1"/>
  <c r="AE16" i="2" s="1"/>
  <c r="AF16" i="2" s="1"/>
  <c r="M6" i="3"/>
  <c r="M7" i="3"/>
  <c r="P7" i="3" s="1"/>
  <c r="E4" i="2" s="1"/>
  <c r="M8" i="3"/>
  <c r="R8" i="3" s="1"/>
  <c r="F6" i="2" s="1"/>
  <c r="M9" i="3"/>
  <c r="M10" i="3"/>
  <c r="M11" i="3"/>
  <c r="S11" i="3" s="1"/>
  <c r="I7" i="2" s="1"/>
  <c r="M12" i="3"/>
  <c r="U12" i="3" s="1"/>
  <c r="J9" i="2" s="1"/>
  <c r="M13" i="3"/>
  <c r="M14" i="3"/>
  <c r="M15" i="3"/>
  <c r="P15" i="3" s="1"/>
  <c r="O4" i="2" s="1"/>
  <c r="M16" i="3"/>
  <c r="R16" i="3" s="1"/>
  <c r="O6" i="2" s="1"/>
  <c r="M17" i="3"/>
  <c r="M18" i="3"/>
  <c r="M19" i="3"/>
  <c r="R19" i="3" s="1"/>
  <c r="S6" i="2" s="1"/>
  <c r="M20" i="3"/>
  <c r="R20" i="3" s="1"/>
  <c r="T6" i="2" s="1"/>
  <c r="M21" i="3"/>
  <c r="M22" i="3"/>
  <c r="M23" i="3"/>
  <c r="M24" i="3"/>
  <c r="M25" i="3"/>
  <c r="M26" i="3"/>
  <c r="M27" i="3"/>
  <c r="M28" i="3"/>
  <c r="S28" i="3" s="1"/>
  <c r="AE7" i="2" s="1"/>
  <c r="AF7" i="2" s="1"/>
  <c r="M32" i="3"/>
  <c r="M33" i="3"/>
  <c r="M34" i="3"/>
  <c r="Q34" i="3" s="1"/>
  <c r="D14" i="2" s="1"/>
  <c r="M35" i="3"/>
  <c r="T35" i="3" s="1"/>
  <c r="E17" i="2" s="1"/>
  <c r="M36" i="3"/>
  <c r="M37" i="3"/>
  <c r="M38" i="3"/>
  <c r="Q38" i="3" s="1"/>
  <c r="H14" i="2" s="1"/>
  <c r="M39" i="3"/>
  <c r="Q39" i="3" s="1"/>
  <c r="I14" i="2" s="1"/>
  <c r="M40" i="3"/>
  <c r="M41" i="3"/>
  <c r="M42" i="3"/>
  <c r="Q42" i="3" s="1"/>
  <c r="M14" i="2" s="1"/>
  <c r="M43" i="3"/>
  <c r="T43" i="3" s="1"/>
  <c r="N17" i="2" s="1"/>
  <c r="M44" i="3"/>
  <c r="M45" i="3"/>
  <c r="M46" i="3"/>
  <c r="Q46" i="3" s="1"/>
  <c r="Q14" i="2" s="1"/>
  <c r="M47" i="3"/>
  <c r="T47" i="3" s="1"/>
  <c r="S17" i="2" s="1"/>
  <c r="M48" i="3"/>
  <c r="M49" i="3"/>
  <c r="M50" i="3"/>
  <c r="M51" i="3"/>
  <c r="M52" i="3"/>
  <c r="M53" i="3"/>
  <c r="M54" i="3"/>
  <c r="M55" i="3"/>
  <c r="M60" i="3"/>
  <c r="M61" i="3"/>
  <c r="M62" i="3"/>
  <c r="Q62" i="3" s="1"/>
  <c r="D23" i="2" s="1"/>
  <c r="M63" i="3"/>
  <c r="T63" i="3" s="1"/>
  <c r="E26" i="2" s="1"/>
  <c r="M64" i="3"/>
  <c r="R64" i="3" s="1"/>
  <c r="F24" i="2" s="1"/>
  <c r="M65" i="3"/>
  <c r="M66" i="3"/>
  <c r="Q66" i="3" s="1"/>
  <c r="H23" i="2" s="1"/>
  <c r="M67" i="3"/>
  <c r="T67" i="3" s="1"/>
  <c r="I26" i="2" s="1"/>
  <c r="M68" i="3"/>
  <c r="S68" i="3" s="1"/>
  <c r="J25" i="2" s="1"/>
  <c r="M69" i="3"/>
  <c r="M70" i="3"/>
  <c r="T70" i="3" s="1"/>
  <c r="M71" i="3"/>
  <c r="U71" i="3" s="1"/>
  <c r="M72" i="3"/>
  <c r="T72" i="3" s="1"/>
  <c r="O26" i="2" s="1"/>
  <c r="M73" i="3"/>
  <c r="M74" i="3"/>
  <c r="P74" i="3" s="1"/>
  <c r="Q22" i="2" s="1"/>
  <c r="M75" i="3"/>
  <c r="P75" i="3" s="1"/>
  <c r="S22" i="2" s="1"/>
  <c r="M76" i="3"/>
  <c r="T76" i="3" s="1"/>
  <c r="T26" i="2" s="1"/>
  <c r="M77" i="3"/>
  <c r="M78" i="3"/>
  <c r="M79" i="3"/>
  <c r="M80" i="3"/>
  <c r="M81" i="3"/>
  <c r="M82" i="3"/>
  <c r="M83" i="3"/>
  <c r="M88" i="3"/>
  <c r="M89" i="3"/>
  <c r="M90" i="3"/>
  <c r="M91" i="3"/>
  <c r="M92" i="3"/>
  <c r="V92" i="3" s="1"/>
  <c r="F37" i="2" s="1"/>
  <c r="M93" i="3"/>
  <c r="M94" i="3"/>
  <c r="M95" i="3"/>
  <c r="M96" i="3"/>
  <c r="S96" i="3" s="1"/>
  <c r="J34" i="2" s="1"/>
  <c r="M97" i="3"/>
  <c r="M98" i="3"/>
  <c r="Q98" i="3" s="1"/>
  <c r="M32" i="2" s="1"/>
  <c r="M99" i="3"/>
  <c r="M100" i="3"/>
  <c r="S100" i="3" s="1"/>
  <c r="O34" i="2" s="1"/>
  <c r="M101" i="3"/>
  <c r="M102" i="3"/>
  <c r="M103" i="3"/>
  <c r="M104" i="3"/>
  <c r="S104" i="3" s="1"/>
  <c r="T34" i="2" s="1"/>
  <c r="M105" i="3"/>
  <c r="M106" i="3"/>
  <c r="M107" i="3"/>
  <c r="M108" i="3"/>
  <c r="M109" i="3"/>
  <c r="M110" i="3"/>
  <c r="M111" i="3"/>
  <c r="M112" i="3"/>
  <c r="M116" i="3"/>
  <c r="M117" i="3"/>
  <c r="M118" i="3"/>
  <c r="M119" i="3"/>
  <c r="U119" i="3" s="1"/>
  <c r="M120" i="3"/>
  <c r="M121" i="3"/>
  <c r="M122" i="3"/>
  <c r="M123" i="3"/>
  <c r="M124" i="3"/>
  <c r="M125" i="3"/>
  <c r="M126" i="3"/>
  <c r="Q126" i="3" s="1"/>
  <c r="M41" i="2" s="1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Q140" i="3" s="1"/>
  <c r="AE41" i="2" s="1"/>
  <c r="AF41" i="2" s="1"/>
  <c r="M5" i="3"/>
  <c r="AC47" i="2"/>
  <c r="AB47" i="2"/>
  <c r="AA47" i="2"/>
  <c r="Z47" i="2"/>
  <c r="Y47" i="2"/>
  <c r="X47" i="2"/>
  <c r="W47" i="2"/>
  <c r="AC46" i="2"/>
  <c r="AB46" i="2"/>
  <c r="AA46" i="2"/>
  <c r="Z46" i="2"/>
  <c r="Y46" i="2"/>
  <c r="X46" i="2"/>
  <c r="W46" i="2"/>
  <c r="AC45" i="2"/>
  <c r="AB45" i="2"/>
  <c r="AA45" i="2"/>
  <c r="Z45" i="2"/>
  <c r="Y45" i="2"/>
  <c r="X45" i="2"/>
  <c r="W45" i="2"/>
  <c r="AC44" i="2"/>
  <c r="AB44" i="2"/>
  <c r="AA44" i="2"/>
  <c r="Z44" i="2"/>
  <c r="Y44" i="2"/>
  <c r="X44" i="2"/>
  <c r="W44" i="2"/>
  <c r="AC43" i="2"/>
  <c r="AB43" i="2"/>
  <c r="AA43" i="2"/>
  <c r="Z43" i="2"/>
  <c r="Y43" i="2"/>
  <c r="X43" i="2"/>
  <c r="W43" i="2"/>
  <c r="AC42" i="2"/>
  <c r="AB42" i="2"/>
  <c r="AA42" i="2"/>
  <c r="Z42" i="2"/>
  <c r="Y42" i="2"/>
  <c r="X42" i="2"/>
  <c r="W42" i="2"/>
  <c r="AC41" i="2"/>
  <c r="AB41" i="2"/>
  <c r="AA41" i="2"/>
  <c r="Z41" i="2"/>
  <c r="Y41" i="2"/>
  <c r="X41" i="2"/>
  <c r="W41" i="2"/>
  <c r="AC40" i="2"/>
  <c r="AB40" i="2"/>
  <c r="AA40" i="2"/>
  <c r="Z40" i="2"/>
  <c r="Y40" i="2"/>
  <c r="X40" i="2"/>
  <c r="W40" i="2"/>
  <c r="AC38" i="2"/>
  <c r="AB38" i="2"/>
  <c r="AA38" i="2"/>
  <c r="Z38" i="2"/>
  <c r="Y38" i="2"/>
  <c r="X38" i="2"/>
  <c r="W38" i="2"/>
  <c r="AC37" i="2"/>
  <c r="AB37" i="2"/>
  <c r="AA37" i="2"/>
  <c r="Z37" i="2"/>
  <c r="Y37" i="2"/>
  <c r="X37" i="2"/>
  <c r="W37" i="2"/>
  <c r="AC36" i="2"/>
  <c r="AB36" i="2"/>
  <c r="AA36" i="2"/>
  <c r="Z36" i="2"/>
  <c r="Y36" i="2"/>
  <c r="X36" i="2"/>
  <c r="W36" i="2"/>
  <c r="AC35" i="2"/>
  <c r="AB35" i="2"/>
  <c r="AA35" i="2"/>
  <c r="Z35" i="2"/>
  <c r="Y35" i="2"/>
  <c r="X35" i="2"/>
  <c r="W35" i="2"/>
  <c r="AC34" i="2"/>
  <c r="AB34" i="2"/>
  <c r="AA34" i="2"/>
  <c r="Z34" i="2"/>
  <c r="Y34" i="2"/>
  <c r="X34" i="2"/>
  <c r="W34" i="2"/>
  <c r="AC33" i="2"/>
  <c r="AB33" i="2"/>
  <c r="AA33" i="2"/>
  <c r="Z33" i="2"/>
  <c r="Y33" i="2"/>
  <c r="X33" i="2"/>
  <c r="W33" i="2"/>
  <c r="AC32" i="2"/>
  <c r="AB32" i="2"/>
  <c r="AA32" i="2"/>
  <c r="Z32" i="2"/>
  <c r="Y32" i="2"/>
  <c r="X32" i="2"/>
  <c r="W32" i="2"/>
  <c r="AC31" i="2"/>
  <c r="AB31" i="2"/>
  <c r="AA31" i="2"/>
  <c r="Z31" i="2"/>
  <c r="Y31" i="2"/>
  <c r="X31" i="2"/>
  <c r="W31" i="2"/>
  <c r="AC29" i="2"/>
  <c r="AB29" i="2"/>
  <c r="AA29" i="2"/>
  <c r="Z29" i="2"/>
  <c r="Y29" i="2"/>
  <c r="X29" i="2"/>
  <c r="W29" i="2"/>
  <c r="AC28" i="2"/>
  <c r="AB28" i="2"/>
  <c r="AA28" i="2"/>
  <c r="Z28" i="2"/>
  <c r="Y28" i="2"/>
  <c r="X28" i="2"/>
  <c r="W28" i="2"/>
  <c r="AC27" i="2"/>
  <c r="AB27" i="2"/>
  <c r="AA27" i="2"/>
  <c r="Z27" i="2"/>
  <c r="Y27" i="2"/>
  <c r="X27" i="2"/>
  <c r="W27" i="2"/>
  <c r="AC26" i="2"/>
  <c r="AB26" i="2"/>
  <c r="AA26" i="2"/>
  <c r="Z26" i="2"/>
  <c r="Y26" i="2"/>
  <c r="X26" i="2"/>
  <c r="W26" i="2"/>
  <c r="AC25" i="2"/>
  <c r="AB25" i="2"/>
  <c r="AA25" i="2"/>
  <c r="Z25" i="2"/>
  <c r="Y25" i="2"/>
  <c r="X25" i="2"/>
  <c r="W25" i="2"/>
  <c r="AC24" i="2"/>
  <c r="AB24" i="2"/>
  <c r="AA24" i="2"/>
  <c r="Z24" i="2"/>
  <c r="Y24" i="2"/>
  <c r="X24" i="2"/>
  <c r="W24" i="2"/>
  <c r="AC23" i="2"/>
  <c r="AB23" i="2"/>
  <c r="AA23" i="2"/>
  <c r="Z23" i="2"/>
  <c r="Y23" i="2"/>
  <c r="X23" i="2"/>
  <c r="W23" i="2"/>
  <c r="AC22" i="2"/>
  <c r="AB22" i="2"/>
  <c r="AA22" i="2"/>
  <c r="Z22" i="2"/>
  <c r="Y22" i="2"/>
  <c r="X22" i="2"/>
  <c r="W22" i="2"/>
  <c r="AC20" i="2"/>
  <c r="AB20" i="2"/>
  <c r="AA20" i="2"/>
  <c r="Z20" i="2"/>
  <c r="Y20" i="2"/>
  <c r="X20" i="2"/>
  <c r="W20" i="2"/>
  <c r="AC19" i="2"/>
  <c r="AB19" i="2"/>
  <c r="AA19" i="2"/>
  <c r="Z19" i="2"/>
  <c r="Y19" i="2"/>
  <c r="X19" i="2"/>
  <c r="W19" i="2"/>
  <c r="AC18" i="2"/>
  <c r="AB18" i="2"/>
  <c r="AA18" i="2"/>
  <c r="Z18" i="2"/>
  <c r="Y18" i="2"/>
  <c r="X18" i="2"/>
  <c r="W18" i="2"/>
  <c r="W17" i="2"/>
  <c r="AC17" i="2"/>
  <c r="AB17" i="2"/>
  <c r="AA17" i="2"/>
  <c r="Z17" i="2"/>
  <c r="Y17" i="2"/>
  <c r="X17" i="2"/>
  <c r="AC16" i="2"/>
  <c r="AB16" i="2"/>
  <c r="AA16" i="2"/>
  <c r="Z16" i="2"/>
  <c r="Y16" i="2"/>
  <c r="X16" i="2"/>
  <c r="W16" i="2"/>
  <c r="AC15" i="2"/>
  <c r="AB15" i="2"/>
  <c r="AA15" i="2"/>
  <c r="Z15" i="2"/>
  <c r="Y15" i="2"/>
  <c r="X15" i="2"/>
  <c r="W15" i="2"/>
  <c r="AC14" i="2"/>
  <c r="AB14" i="2"/>
  <c r="AA14" i="2"/>
  <c r="Z14" i="2"/>
  <c r="Y14" i="2"/>
  <c r="X14" i="2"/>
  <c r="W14" i="2"/>
  <c r="AC13" i="2"/>
  <c r="AB13" i="2"/>
  <c r="AA13" i="2"/>
  <c r="Z13" i="2"/>
  <c r="Z21" i="2" s="1"/>
  <c r="Y13" i="2"/>
  <c r="X13" i="2"/>
  <c r="W13" i="2"/>
  <c r="AC11" i="2"/>
  <c r="AB11" i="2"/>
  <c r="AA11" i="2"/>
  <c r="Z11" i="2"/>
  <c r="Y11" i="2"/>
  <c r="X11" i="2"/>
  <c r="W11" i="2"/>
  <c r="AC10" i="2"/>
  <c r="AB10" i="2"/>
  <c r="AA10" i="2"/>
  <c r="Z10" i="2"/>
  <c r="Y10" i="2"/>
  <c r="X10" i="2"/>
  <c r="W10" i="2"/>
  <c r="AC9" i="2"/>
  <c r="AB9" i="2"/>
  <c r="AA9" i="2"/>
  <c r="Z9" i="2"/>
  <c r="Y9" i="2"/>
  <c r="X9" i="2"/>
  <c r="W9" i="2"/>
  <c r="AC8" i="2"/>
  <c r="AB8" i="2"/>
  <c r="AA8" i="2"/>
  <c r="Z8" i="2"/>
  <c r="Y8" i="2"/>
  <c r="X8" i="2"/>
  <c r="W8" i="2"/>
  <c r="AC7" i="2"/>
  <c r="AB7" i="2"/>
  <c r="AA7" i="2"/>
  <c r="Z7" i="2"/>
  <c r="Y7" i="2"/>
  <c r="X7" i="2"/>
  <c r="W7" i="2"/>
  <c r="AC6" i="2"/>
  <c r="AB6" i="2"/>
  <c r="AA6" i="2"/>
  <c r="Z6" i="2"/>
  <c r="Y6" i="2"/>
  <c r="X6" i="2"/>
  <c r="W6" i="2"/>
  <c r="AE4" i="2"/>
  <c r="AF4" i="2" s="1"/>
  <c r="AC4" i="2"/>
  <c r="AB4" i="2"/>
  <c r="AB12" i="2" s="1"/>
  <c r="AA4" i="2"/>
  <c r="Z4" i="2"/>
  <c r="Y4" i="2"/>
  <c r="X4" i="2"/>
  <c r="X12" i="2" s="1"/>
  <c r="AC5" i="2"/>
  <c r="AB5" i="2"/>
  <c r="AA5" i="2"/>
  <c r="Z5" i="2"/>
  <c r="Y5" i="2"/>
  <c r="X5" i="2"/>
  <c r="W5" i="2"/>
  <c r="R140" i="3"/>
  <c r="AE42" i="2" s="1"/>
  <c r="AF42" i="2" s="1"/>
  <c r="S140" i="3"/>
  <c r="AE43" i="2" s="1"/>
  <c r="AF43" i="2" s="1"/>
  <c r="T140" i="3"/>
  <c r="AE44" i="2" s="1"/>
  <c r="AF44" i="2" s="1"/>
  <c r="V140" i="3"/>
  <c r="AE46" i="2" s="1"/>
  <c r="AF46" i="2" s="1"/>
  <c r="W140" i="3"/>
  <c r="AE47" i="2" s="1"/>
  <c r="AF47" i="2" s="1"/>
  <c r="T124" i="3"/>
  <c r="J44" i="2" s="1"/>
  <c r="P134" i="3"/>
  <c r="P133" i="3"/>
  <c r="P135" i="3"/>
  <c r="P136" i="3"/>
  <c r="P137" i="3"/>
  <c r="P138" i="3"/>
  <c r="P139" i="3"/>
  <c r="W139" i="3"/>
  <c r="V139" i="3"/>
  <c r="U139" i="3"/>
  <c r="T139" i="3"/>
  <c r="S139" i="3"/>
  <c r="R139" i="3"/>
  <c r="Q139" i="3"/>
  <c r="W138" i="3"/>
  <c r="V138" i="3"/>
  <c r="U138" i="3"/>
  <c r="T138" i="3"/>
  <c r="S138" i="3"/>
  <c r="R138" i="3"/>
  <c r="Q138" i="3"/>
  <c r="W137" i="3"/>
  <c r="V137" i="3"/>
  <c r="U137" i="3"/>
  <c r="T137" i="3"/>
  <c r="S137" i="3"/>
  <c r="R137" i="3"/>
  <c r="Q137" i="3"/>
  <c r="W136" i="3"/>
  <c r="V136" i="3"/>
  <c r="U136" i="3"/>
  <c r="T136" i="3"/>
  <c r="S136" i="3"/>
  <c r="R136" i="3"/>
  <c r="Q136" i="3"/>
  <c r="W135" i="3"/>
  <c r="V135" i="3"/>
  <c r="U135" i="3"/>
  <c r="T135" i="3"/>
  <c r="S135" i="3"/>
  <c r="R135" i="3"/>
  <c r="Q135" i="3"/>
  <c r="W134" i="3"/>
  <c r="V134" i="3"/>
  <c r="U134" i="3"/>
  <c r="T134" i="3"/>
  <c r="S134" i="3"/>
  <c r="R134" i="3"/>
  <c r="Q134" i="3"/>
  <c r="W133" i="3"/>
  <c r="V133" i="3"/>
  <c r="U133" i="3"/>
  <c r="T133" i="3"/>
  <c r="S133" i="3"/>
  <c r="R133" i="3"/>
  <c r="Q133" i="3"/>
  <c r="W104" i="3"/>
  <c r="T38" i="2" s="1"/>
  <c r="W96" i="3"/>
  <c r="J38" i="2" s="1"/>
  <c r="P108" i="3"/>
  <c r="P112" i="3"/>
  <c r="AE31" i="2" s="1"/>
  <c r="W112" i="3"/>
  <c r="AE38" i="2" s="1"/>
  <c r="AF38" i="2" s="1"/>
  <c r="V112" i="3"/>
  <c r="AE37" i="2" s="1"/>
  <c r="AF37" i="2" s="1"/>
  <c r="U112" i="3"/>
  <c r="AE36" i="2" s="1"/>
  <c r="AF36" i="2" s="1"/>
  <c r="T112" i="3"/>
  <c r="AE35" i="2" s="1"/>
  <c r="AF35" i="2" s="1"/>
  <c r="S112" i="3"/>
  <c r="AE34" i="2" s="1"/>
  <c r="AF34" i="2" s="1"/>
  <c r="R112" i="3"/>
  <c r="AE33" i="2" s="1"/>
  <c r="AF33" i="2" s="1"/>
  <c r="Q112" i="3"/>
  <c r="AE32" i="2" s="1"/>
  <c r="AF32" i="2" s="1"/>
  <c r="W111" i="3"/>
  <c r="V111" i="3"/>
  <c r="U111" i="3"/>
  <c r="T111" i="3"/>
  <c r="S111" i="3"/>
  <c r="R111" i="3"/>
  <c r="Q111" i="3"/>
  <c r="P111" i="3"/>
  <c r="W110" i="3"/>
  <c r="V110" i="3"/>
  <c r="U110" i="3"/>
  <c r="T110" i="3"/>
  <c r="S110" i="3"/>
  <c r="R110" i="3"/>
  <c r="Q110" i="3"/>
  <c r="P110" i="3"/>
  <c r="W109" i="3"/>
  <c r="V109" i="3"/>
  <c r="U109" i="3"/>
  <c r="T109" i="3"/>
  <c r="S109" i="3"/>
  <c r="R109" i="3"/>
  <c r="Q109" i="3"/>
  <c r="P109" i="3"/>
  <c r="W108" i="3"/>
  <c r="V108" i="3"/>
  <c r="U108" i="3"/>
  <c r="T108" i="3"/>
  <c r="S108" i="3"/>
  <c r="R108" i="3"/>
  <c r="Q108" i="3"/>
  <c r="W107" i="3"/>
  <c r="V107" i="3"/>
  <c r="U107" i="3"/>
  <c r="T107" i="3"/>
  <c r="S107" i="3"/>
  <c r="R107" i="3"/>
  <c r="Q107" i="3"/>
  <c r="P107" i="3"/>
  <c r="W106" i="3"/>
  <c r="V106" i="3"/>
  <c r="U106" i="3"/>
  <c r="T106" i="3"/>
  <c r="S106" i="3"/>
  <c r="R106" i="3"/>
  <c r="Q106" i="3"/>
  <c r="P106" i="3"/>
  <c r="W105" i="3"/>
  <c r="V105" i="3"/>
  <c r="U105" i="3"/>
  <c r="T105" i="3"/>
  <c r="S105" i="3"/>
  <c r="R105" i="3"/>
  <c r="Q105" i="3"/>
  <c r="P105" i="3"/>
  <c r="R73" i="3"/>
  <c r="P24" i="2" s="1"/>
  <c r="Q84" i="3"/>
  <c r="AE23" i="2" s="1"/>
  <c r="AF23" i="2" s="1"/>
  <c r="R84" i="3"/>
  <c r="AE24" i="2" s="1"/>
  <c r="AF24" i="2" s="1"/>
  <c r="S84" i="3"/>
  <c r="AE25" i="2" s="1"/>
  <c r="AF25" i="2" s="1"/>
  <c r="T84" i="3"/>
  <c r="AE26" i="2" s="1"/>
  <c r="AF26" i="2" s="1"/>
  <c r="U84" i="3"/>
  <c r="AE27" i="2" s="1"/>
  <c r="AF27" i="2" s="1"/>
  <c r="V84" i="3"/>
  <c r="AE28" i="2" s="1"/>
  <c r="AF28" i="2" s="1"/>
  <c r="W84" i="3"/>
  <c r="AE29" i="2" s="1"/>
  <c r="AF29" i="2" s="1"/>
  <c r="Q81" i="3"/>
  <c r="R81" i="3"/>
  <c r="S81" i="3"/>
  <c r="T81" i="3"/>
  <c r="U81" i="3"/>
  <c r="V81" i="3"/>
  <c r="W81" i="3"/>
  <c r="Q82" i="3"/>
  <c r="R82" i="3"/>
  <c r="S82" i="3"/>
  <c r="T82" i="3"/>
  <c r="U82" i="3"/>
  <c r="V82" i="3"/>
  <c r="W82" i="3"/>
  <c r="Q83" i="3"/>
  <c r="R83" i="3"/>
  <c r="S83" i="3"/>
  <c r="T83" i="3"/>
  <c r="U83" i="3"/>
  <c r="V83" i="3"/>
  <c r="W83" i="3"/>
  <c r="Q80" i="3"/>
  <c r="R80" i="3"/>
  <c r="S80" i="3"/>
  <c r="T80" i="3"/>
  <c r="U80" i="3"/>
  <c r="V80" i="3"/>
  <c r="W80" i="3"/>
  <c r="Q79" i="3"/>
  <c r="R79" i="3"/>
  <c r="S79" i="3"/>
  <c r="T79" i="3"/>
  <c r="U79" i="3"/>
  <c r="V79" i="3"/>
  <c r="W79" i="3"/>
  <c r="Q78" i="3"/>
  <c r="R78" i="3"/>
  <c r="S78" i="3"/>
  <c r="T78" i="3"/>
  <c r="U78" i="3"/>
  <c r="V78" i="3"/>
  <c r="W78" i="3"/>
  <c r="Q77" i="3"/>
  <c r="R77" i="3"/>
  <c r="S77" i="3"/>
  <c r="T77" i="3"/>
  <c r="U77" i="3"/>
  <c r="V77" i="3"/>
  <c r="W77" i="3"/>
  <c r="U76" i="3"/>
  <c r="T27" i="2" s="1"/>
  <c r="P84" i="3"/>
  <c r="AE22" i="2" s="1"/>
  <c r="P77" i="3"/>
  <c r="P73" i="3"/>
  <c r="P22" i="2" s="1"/>
  <c r="P69" i="3"/>
  <c r="K22" i="2" s="1"/>
  <c r="P83" i="3"/>
  <c r="P82" i="3"/>
  <c r="P81" i="3"/>
  <c r="P80" i="3"/>
  <c r="P79" i="3"/>
  <c r="P78" i="3"/>
  <c r="W55" i="3"/>
  <c r="Q49" i="3"/>
  <c r="R49" i="3"/>
  <c r="S49" i="3"/>
  <c r="T49" i="3"/>
  <c r="U49" i="3"/>
  <c r="V49" i="3"/>
  <c r="W49" i="3"/>
  <c r="P34" i="3"/>
  <c r="D13" i="2" s="1"/>
  <c r="P55" i="3"/>
  <c r="P54" i="3"/>
  <c r="V55" i="3"/>
  <c r="U55" i="3"/>
  <c r="T55" i="3"/>
  <c r="S55" i="3"/>
  <c r="R55" i="3"/>
  <c r="Q55" i="3"/>
  <c r="W54" i="3"/>
  <c r="V54" i="3"/>
  <c r="U54" i="3"/>
  <c r="T54" i="3"/>
  <c r="S54" i="3"/>
  <c r="R54" i="3"/>
  <c r="Q54" i="3"/>
  <c r="W53" i="3"/>
  <c r="V53" i="3"/>
  <c r="U53" i="3"/>
  <c r="T53" i="3"/>
  <c r="S53" i="3"/>
  <c r="R53" i="3"/>
  <c r="Q53" i="3"/>
  <c r="P53" i="3"/>
  <c r="W52" i="3"/>
  <c r="V52" i="3"/>
  <c r="U52" i="3"/>
  <c r="T52" i="3"/>
  <c r="S52" i="3"/>
  <c r="R52" i="3"/>
  <c r="Q52" i="3"/>
  <c r="P52" i="3"/>
  <c r="W51" i="3"/>
  <c r="V51" i="3"/>
  <c r="U51" i="3"/>
  <c r="T51" i="3"/>
  <c r="S51" i="3"/>
  <c r="R51" i="3"/>
  <c r="Q51" i="3"/>
  <c r="P51" i="3"/>
  <c r="W50" i="3"/>
  <c r="V50" i="3"/>
  <c r="U50" i="3"/>
  <c r="T50" i="3"/>
  <c r="S50" i="3"/>
  <c r="R50" i="3"/>
  <c r="Q50" i="3"/>
  <c r="P50" i="3"/>
  <c r="P49" i="3"/>
  <c r="Q27" i="3"/>
  <c r="R27" i="3"/>
  <c r="S27" i="3"/>
  <c r="T27" i="3"/>
  <c r="U27" i="3"/>
  <c r="V27" i="3"/>
  <c r="W27" i="3"/>
  <c r="P27" i="3"/>
  <c r="Q26" i="3"/>
  <c r="R26" i="3"/>
  <c r="S26" i="3"/>
  <c r="T26" i="3"/>
  <c r="U26" i="3"/>
  <c r="V26" i="3"/>
  <c r="W26" i="3"/>
  <c r="P26" i="3"/>
  <c r="Q25" i="3"/>
  <c r="R25" i="3"/>
  <c r="S25" i="3"/>
  <c r="T25" i="3"/>
  <c r="U25" i="3"/>
  <c r="V25" i="3"/>
  <c r="W25" i="3"/>
  <c r="P25" i="3"/>
  <c r="Q24" i="3"/>
  <c r="R24" i="3"/>
  <c r="S24" i="3"/>
  <c r="T24" i="3"/>
  <c r="U24" i="3"/>
  <c r="V24" i="3"/>
  <c r="W24" i="3"/>
  <c r="P24" i="3"/>
  <c r="Q23" i="3"/>
  <c r="R23" i="3"/>
  <c r="S23" i="3"/>
  <c r="T23" i="3"/>
  <c r="U23" i="3"/>
  <c r="V23" i="3"/>
  <c r="W23" i="3"/>
  <c r="P23" i="3"/>
  <c r="Q22" i="3"/>
  <c r="R22" i="3"/>
  <c r="S22" i="3"/>
  <c r="T22" i="3"/>
  <c r="U22" i="3"/>
  <c r="V22" i="3"/>
  <c r="W22" i="3"/>
  <c r="P22" i="3"/>
  <c r="Q21" i="3"/>
  <c r="R21" i="3"/>
  <c r="S21" i="3"/>
  <c r="T21" i="3"/>
  <c r="U21" i="3"/>
  <c r="V21" i="3"/>
  <c r="W21" i="3"/>
  <c r="P21" i="3"/>
  <c r="Q6" i="3"/>
  <c r="D5" i="2" s="1"/>
  <c r="U6" i="3"/>
  <c r="D9" i="2" s="1"/>
  <c r="Q18" i="3"/>
  <c r="Q5" i="2" s="1"/>
  <c r="U18" i="3"/>
  <c r="Q9" i="2" s="1"/>
  <c r="P14" i="3"/>
  <c r="N4" i="2" s="1"/>
  <c r="R14" i="3"/>
  <c r="M6" i="2" s="1"/>
  <c r="T14" i="3"/>
  <c r="M8" i="2" s="1"/>
  <c r="W14" i="3"/>
  <c r="M11" i="2" s="1"/>
  <c r="Q10" i="3"/>
  <c r="H5" i="2" s="1"/>
  <c r="U10" i="3"/>
  <c r="H9" i="2" s="1"/>
  <c r="W7" i="3"/>
  <c r="E11" i="2" s="1"/>
  <c r="Z48" i="2" l="1"/>
  <c r="Z30" i="2"/>
  <c r="Z39" i="2"/>
  <c r="Y12" i="2"/>
  <c r="AC12" i="2"/>
  <c r="AD8" i="2"/>
  <c r="W21" i="2"/>
  <c r="AA21" i="2"/>
  <c r="X21" i="2"/>
  <c r="AB21" i="2"/>
  <c r="W30" i="2"/>
  <c r="AA30" i="2"/>
  <c r="X30" i="2"/>
  <c r="AB30" i="2"/>
  <c r="W39" i="2"/>
  <c r="AA39" i="2"/>
  <c r="X39" i="2"/>
  <c r="AB39" i="2"/>
  <c r="W48" i="2"/>
  <c r="AA48" i="2"/>
  <c r="Z12" i="2"/>
  <c r="X48" i="2"/>
  <c r="AB48" i="2"/>
  <c r="AA12" i="2"/>
  <c r="Y21" i="2"/>
  <c r="AC21" i="2"/>
  <c r="Y30" i="2"/>
  <c r="AC30" i="2"/>
  <c r="Y39" i="2"/>
  <c r="AC39" i="2"/>
  <c r="Y48" i="2"/>
  <c r="AC48" i="2"/>
  <c r="P18" i="3"/>
  <c r="S4" i="2" s="1"/>
  <c r="P6" i="3"/>
  <c r="D4" i="2" s="1"/>
  <c r="T56" i="3"/>
  <c r="AE17" i="2" s="1"/>
  <c r="AF17" i="2" s="1"/>
  <c r="U91" i="3"/>
  <c r="E36" i="2" s="1"/>
  <c r="S5" i="3"/>
  <c r="C7" i="2" s="1"/>
  <c r="R102" i="3"/>
  <c r="Q33" i="2" s="1"/>
  <c r="R98" i="3"/>
  <c r="M33" i="2" s="1"/>
  <c r="S122" i="3"/>
  <c r="H43" i="2" s="1"/>
  <c r="Q90" i="3"/>
  <c r="D32" i="2" s="1"/>
  <c r="R48" i="3"/>
  <c r="T15" i="2" s="1"/>
  <c r="Q44" i="3"/>
  <c r="O14" i="2" s="1"/>
  <c r="S40" i="3"/>
  <c r="J16" i="2" s="1"/>
  <c r="R36" i="3"/>
  <c r="F15" i="2" s="1"/>
  <c r="S14" i="3"/>
  <c r="M7" i="2" s="1"/>
  <c r="T6" i="3"/>
  <c r="D8" i="2" s="1"/>
  <c r="Q76" i="3"/>
  <c r="T23" i="2" s="1"/>
  <c r="V118" i="3"/>
  <c r="D46" i="2" s="1"/>
  <c r="T95" i="3"/>
  <c r="I35" i="2" s="1"/>
  <c r="S10" i="3"/>
  <c r="H7" i="2" s="1"/>
  <c r="V14" i="3"/>
  <c r="M10" i="2" s="1"/>
  <c r="W18" i="3"/>
  <c r="Q11" i="2" s="1"/>
  <c r="W6" i="3"/>
  <c r="D11" i="2" s="1"/>
  <c r="P72" i="3"/>
  <c r="O22" i="2" s="1"/>
  <c r="W100" i="3"/>
  <c r="O38" i="2" s="1"/>
  <c r="T10" i="3"/>
  <c r="H8" i="2" s="1"/>
  <c r="T18" i="3"/>
  <c r="Q8" i="2" s="1"/>
  <c r="V130" i="3"/>
  <c r="Q46" i="2" s="1"/>
  <c r="W10" i="3"/>
  <c r="H11" i="2" s="1"/>
  <c r="S18" i="3"/>
  <c r="Q7" i="2" s="1"/>
  <c r="S6" i="3"/>
  <c r="D7" i="2" s="1"/>
  <c r="S64" i="3"/>
  <c r="F25" i="2" s="1"/>
  <c r="V10" i="3"/>
  <c r="H10" i="2" s="1"/>
  <c r="U14" i="3"/>
  <c r="M9" i="2" s="1"/>
  <c r="V18" i="3"/>
  <c r="Q10" i="2" s="1"/>
  <c r="V6" i="3"/>
  <c r="D10" i="2" s="1"/>
  <c r="U72" i="3"/>
  <c r="O27" i="2" s="1"/>
  <c r="P119" i="3"/>
  <c r="E40" i="2" s="1"/>
  <c r="AD33" i="2"/>
  <c r="AD37" i="2"/>
  <c r="AD42" i="2"/>
  <c r="AD46" i="2"/>
  <c r="AD18" i="2"/>
  <c r="AD23" i="2"/>
  <c r="U132" i="3"/>
  <c r="T45" i="2" s="1"/>
  <c r="R128" i="3"/>
  <c r="O42" i="2" s="1"/>
  <c r="Q120" i="3"/>
  <c r="F41" i="2" s="1"/>
  <c r="R38" i="3"/>
  <c r="H15" i="2" s="1"/>
  <c r="T7" i="3"/>
  <c r="E8" i="2" s="1"/>
  <c r="R42" i="3"/>
  <c r="M15" i="2" s="1"/>
  <c r="V74" i="3"/>
  <c r="Q28" i="2" s="1"/>
  <c r="R11" i="3"/>
  <c r="I6" i="2" s="1"/>
  <c r="T19" i="3"/>
  <c r="S8" i="2" s="1"/>
  <c r="S62" i="3"/>
  <c r="D25" i="2" s="1"/>
  <c r="V132" i="3"/>
  <c r="T46" i="2" s="1"/>
  <c r="S128" i="3"/>
  <c r="O43" i="2" s="1"/>
  <c r="R124" i="3"/>
  <c r="J42" i="2" s="1"/>
  <c r="R120" i="3"/>
  <c r="F42" i="2" s="1"/>
  <c r="W89" i="3"/>
  <c r="C38" i="2" s="1"/>
  <c r="Q11" i="3"/>
  <c r="I5" i="2" s="1"/>
  <c r="V34" i="3"/>
  <c r="D19" i="2" s="1"/>
  <c r="T46" i="3"/>
  <c r="Q17" i="2" s="1"/>
  <c r="S66" i="3"/>
  <c r="H25" i="2" s="1"/>
  <c r="Q74" i="3"/>
  <c r="Q23" i="2" s="1"/>
  <c r="P89" i="3"/>
  <c r="W120" i="3"/>
  <c r="F47" i="2" s="1"/>
  <c r="T132" i="3"/>
  <c r="T44" i="2" s="1"/>
  <c r="Q15" i="3"/>
  <c r="N5" i="2" s="1"/>
  <c r="V38" i="3"/>
  <c r="H19" i="2" s="1"/>
  <c r="T62" i="3"/>
  <c r="D26" i="2" s="1"/>
  <c r="U70" i="3"/>
  <c r="M27" i="2" s="1"/>
  <c r="P128" i="3"/>
  <c r="O40" i="2" s="1"/>
  <c r="V128" i="3"/>
  <c r="O46" i="2" s="1"/>
  <c r="V124" i="3"/>
  <c r="J46" i="2" s="1"/>
  <c r="S120" i="3"/>
  <c r="F43" i="2" s="1"/>
  <c r="S7" i="3"/>
  <c r="E7" i="2" s="1"/>
  <c r="V11" i="3"/>
  <c r="I10" i="2" s="1"/>
  <c r="U15" i="3"/>
  <c r="N9" i="2" s="1"/>
  <c r="S19" i="3"/>
  <c r="S7" i="2" s="1"/>
  <c r="T34" i="3"/>
  <c r="D17" i="2" s="1"/>
  <c r="W42" i="3"/>
  <c r="M20" i="2" s="1"/>
  <c r="S46" i="3"/>
  <c r="Q16" i="2" s="1"/>
  <c r="P62" i="3"/>
  <c r="D22" i="2" s="1"/>
  <c r="S70" i="3"/>
  <c r="M25" i="2" s="1"/>
  <c r="V98" i="3"/>
  <c r="M37" i="2" s="1"/>
  <c r="U11" i="3"/>
  <c r="I9" i="2" s="1"/>
  <c r="T15" i="3"/>
  <c r="N8" i="2" s="1"/>
  <c r="P11" i="3"/>
  <c r="J4" i="2" s="1"/>
  <c r="W38" i="3"/>
  <c r="H20" i="2" s="1"/>
  <c r="S42" i="3"/>
  <c r="M16" i="2" s="1"/>
  <c r="V66" i="3"/>
  <c r="H28" i="2" s="1"/>
  <c r="R7" i="3"/>
  <c r="E6" i="2" s="1"/>
  <c r="T11" i="3"/>
  <c r="I8" i="2" s="1"/>
  <c r="W15" i="3"/>
  <c r="N11" i="2" s="1"/>
  <c r="S15" i="3"/>
  <c r="N7" i="2" s="1"/>
  <c r="P19" i="3"/>
  <c r="T4" i="2" s="1"/>
  <c r="U4" i="2" s="1"/>
  <c r="W19" i="3"/>
  <c r="S11" i="2" s="1"/>
  <c r="Q19" i="3"/>
  <c r="S5" i="2" s="1"/>
  <c r="P38" i="3"/>
  <c r="H13" i="2" s="1"/>
  <c r="S34" i="3"/>
  <c r="D16" i="2" s="1"/>
  <c r="T38" i="3"/>
  <c r="H17" i="2" s="1"/>
  <c r="V42" i="3"/>
  <c r="M19" i="2" s="1"/>
  <c r="W46" i="3"/>
  <c r="Q20" i="2" s="1"/>
  <c r="R46" i="3"/>
  <c r="Q15" i="2" s="1"/>
  <c r="P70" i="3"/>
  <c r="M22" i="2" s="1"/>
  <c r="R66" i="3"/>
  <c r="H24" i="2" s="1"/>
  <c r="R70" i="3"/>
  <c r="M24" i="2" s="1"/>
  <c r="T74" i="3"/>
  <c r="Q26" i="2" s="1"/>
  <c r="U98" i="3"/>
  <c r="M36" i="2" s="1"/>
  <c r="P124" i="3"/>
  <c r="J40" i="2" s="1"/>
  <c r="P132" i="3"/>
  <c r="T40" i="2" s="1"/>
  <c r="V120" i="3"/>
  <c r="F46" i="2" s="1"/>
  <c r="W124" i="3"/>
  <c r="J47" i="2" s="1"/>
  <c r="W128" i="3"/>
  <c r="O47" i="2" s="1"/>
  <c r="Q128" i="3"/>
  <c r="O41" i="2" s="1"/>
  <c r="Q132" i="3"/>
  <c r="T41" i="2" s="1"/>
  <c r="R132" i="3"/>
  <c r="T42" i="2" s="1"/>
  <c r="U128" i="3"/>
  <c r="O45" i="2" s="1"/>
  <c r="S124" i="3"/>
  <c r="J43" i="2" s="1"/>
  <c r="U120" i="3"/>
  <c r="F45" i="2" s="1"/>
  <c r="U131" i="3"/>
  <c r="S45" i="2" s="1"/>
  <c r="U45" i="2" s="1"/>
  <c r="S123" i="3"/>
  <c r="I43" i="2" s="1"/>
  <c r="U90" i="3"/>
  <c r="D36" i="2" s="1"/>
  <c r="V7" i="3"/>
  <c r="E10" i="2" s="1"/>
  <c r="U7" i="3"/>
  <c r="E9" i="2" s="1"/>
  <c r="Q7" i="3"/>
  <c r="E5" i="2" s="1"/>
  <c r="W11" i="3"/>
  <c r="I11" i="2" s="1"/>
  <c r="V15" i="3"/>
  <c r="N10" i="2" s="1"/>
  <c r="R15" i="3"/>
  <c r="N6" i="2" s="1"/>
  <c r="U19" i="3"/>
  <c r="S9" i="2" s="1"/>
  <c r="W34" i="3"/>
  <c r="D20" i="2" s="1"/>
  <c r="R34" i="3"/>
  <c r="D15" i="2" s="1"/>
  <c r="S38" i="3"/>
  <c r="H16" i="2" s="1"/>
  <c r="T42" i="3"/>
  <c r="M17" i="2" s="1"/>
  <c r="V46" i="3"/>
  <c r="Q19" i="2" s="1"/>
  <c r="P42" i="3"/>
  <c r="M13" i="2" s="1"/>
  <c r="V62" i="3"/>
  <c r="D28" i="2" s="1"/>
  <c r="W66" i="3"/>
  <c r="H29" i="2" s="1"/>
  <c r="W70" i="3"/>
  <c r="M29" i="2" s="1"/>
  <c r="T71" i="3"/>
  <c r="N26" i="2" s="1"/>
  <c r="R74" i="3"/>
  <c r="Q24" i="2" s="1"/>
  <c r="R43" i="3"/>
  <c r="N15" i="2" s="1"/>
  <c r="P40" i="3"/>
  <c r="J13" i="2" s="1"/>
  <c r="W28" i="3"/>
  <c r="AE11" i="2" s="1"/>
  <c r="AF11" i="2" s="1"/>
  <c r="W62" i="3"/>
  <c r="D29" i="2" s="1"/>
  <c r="R62" i="3"/>
  <c r="D24" i="2" s="1"/>
  <c r="T66" i="3"/>
  <c r="H26" i="2" s="1"/>
  <c r="V70" i="3"/>
  <c r="M28" i="2" s="1"/>
  <c r="Q70" i="3"/>
  <c r="M23" i="2" s="1"/>
  <c r="U74" i="3"/>
  <c r="Q27" i="2" s="1"/>
  <c r="P140" i="3"/>
  <c r="AE40" i="2" s="1"/>
  <c r="AF40" i="2" s="1"/>
  <c r="U140" i="3"/>
  <c r="AE45" i="2" s="1"/>
  <c r="AF45" i="2" s="1"/>
  <c r="T131" i="3"/>
  <c r="S44" i="2" s="1"/>
  <c r="S127" i="3"/>
  <c r="N43" i="2" s="1"/>
  <c r="R123" i="3"/>
  <c r="I42" i="2" s="1"/>
  <c r="T119" i="3"/>
  <c r="E44" i="2" s="1"/>
  <c r="R104" i="3"/>
  <c r="T33" i="2" s="1"/>
  <c r="R100" i="3"/>
  <c r="O33" i="2" s="1"/>
  <c r="R96" i="3"/>
  <c r="J33" i="2" s="1"/>
  <c r="Q92" i="3"/>
  <c r="F32" i="2" s="1"/>
  <c r="V20" i="3"/>
  <c r="T10" i="2" s="1"/>
  <c r="R28" i="3"/>
  <c r="AE6" i="2" s="1"/>
  <c r="AF6" i="2" s="1"/>
  <c r="U39" i="3"/>
  <c r="I18" i="2" s="1"/>
  <c r="U67" i="3"/>
  <c r="I27" i="2" s="1"/>
  <c r="T12" i="3"/>
  <c r="J8" i="2" s="1"/>
  <c r="V16" i="3"/>
  <c r="O10" i="2" s="1"/>
  <c r="U35" i="3"/>
  <c r="E18" i="2" s="1"/>
  <c r="S47" i="3"/>
  <c r="S16" i="2" s="1"/>
  <c r="P63" i="3"/>
  <c r="E22" i="2" s="1"/>
  <c r="U63" i="3"/>
  <c r="E27" i="2" s="1"/>
  <c r="T122" i="3"/>
  <c r="H44" i="2" s="1"/>
  <c r="V5" i="3"/>
  <c r="C10" i="2" s="1"/>
  <c r="V8" i="3"/>
  <c r="F10" i="2" s="1"/>
  <c r="P48" i="3"/>
  <c r="T13" i="2" s="1"/>
  <c r="T75" i="3"/>
  <c r="S26" i="2" s="1"/>
  <c r="U26" i="2" s="1"/>
  <c r="S94" i="3"/>
  <c r="H34" i="2" s="1"/>
  <c r="Q102" i="3"/>
  <c r="Q32" i="2" s="1"/>
  <c r="U5" i="3"/>
  <c r="C9" i="2" s="1"/>
  <c r="T8" i="3"/>
  <c r="F8" i="2" s="1"/>
  <c r="S12" i="3"/>
  <c r="J7" i="2" s="1"/>
  <c r="T16" i="3"/>
  <c r="O8" i="2" s="1"/>
  <c r="T20" i="3"/>
  <c r="T8" i="2" s="1"/>
  <c r="P8" i="3"/>
  <c r="G4" i="2" s="1"/>
  <c r="V28" i="3"/>
  <c r="AE10" i="2" s="1"/>
  <c r="AF10" i="2" s="1"/>
  <c r="S35" i="3"/>
  <c r="E16" i="2" s="1"/>
  <c r="S39" i="3"/>
  <c r="I16" i="2" s="1"/>
  <c r="P43" i="3"/>
  <c r="N13" i="2" s="1"/>
  <c r="W43" i="3"/>
  <c r="N20" i="2" s="1"/>
  <c r="Q43" i="3"/>
  <c r="N14" i="2" s="1"/>
  <c r="W47" i="3"/>
  <c r="S20" i="2" s="1"/>
  <c r="R47" i="3"/>
  <c r="S15" i="2" s="1"/>
  <c r="U15" i="2" s="1"/>
  <c r="P67" i="3"/>
  <c r="I22" i="2" s="1"/>
  <c r="S63" i="3"/>
  <c r="E25" i="2" s="1"/>
  <c r="S67" i="3"/>
  <c r="I25" i="2" s="1"/>
  <c r="Q71" i="3"/>
  <c r="N23" i="2" s="1"/>
  <c r="Q75" i="3"/>
  <c r="S23" i="2" s="1"/>
  <c r="T90" i="3"/>
  <c r="D35" i="2" s="1"/>
  <c r="P94" i="3"/>
  <c r="H31" i="2" s="1"/>
  <c r="V102" i="3"/>
  <c r="Q37" i="2" s="1"/>
  <c r="W122" i="3"/>
  <c r="H47" i="2" s="1"/>
  <c r="S102" i="3"/>
  <c r="Q34" i="2" s="1"/>
  <c r="S98" i="3"/>
  <c r="M34" i="2" s="1"/>
  <c r="V122" i="3"/>
  <c r="H46" i="2" s="1"/>
  <c r="R90" i="3"/>
  <c r="D33" i="2" s="1"/>
  <c r="S132" i="3"/>
  <c r="T43" i="2" s="1"/>
  <c r="T128" i="3"/>
  <c r="O44" i="2" s="1"/>
  <c r="Q124" i="3"/>
  <c r="J41" i="2" s="1"/>
  <c r="T120" i="3"/>
  <c r="F44" i="2" s="1"/>
  <c r="R5" i="3"/>
  <c r="C6" i="2" s="1"/>
  <c r="S8" i="3"/>
  <c r="F7" i="2" s="1"/>
  <c r="W12" i="3"/>
  <c r="J11" i="2" s="1"/>
  <c r="Q12" i="3"/>
  <c r="J5" i="2" s="1"/>
  <c r="P16" i="3"/>
  <c r="P4" i="2" s="1"/>
  <c r="S16" i="3"/>
  <c r="O7" i="2" s="1"/>
  <c r="P20" i="3"/>
  <c r="W4" i="2" s="1"/>
  <c r="W12" i="2" s="1"/>
  <c r="S20" i="3"/>
  <c r="T7" i="2" s="1"/>
  <c r="T28" i="3"/>
  <c r="AE8" i="2" s="1"/>
  <c r="AF8" i="2" s="1"/>
  <c r="P35" i="3"/>
  <c r="E13" i="2" s="1"/>
  <c r="W35" i="3"/>
  <c r="E20" i="2" s="1"/>
  <c r="R35" i="3"/>
  <c r="E15" i="2" s="1"/>
  <c r="W39" i="3"/>
  <c r="I20" i="2" s="1"/>
  <c r="R39" i="3"/>
  <c r="I15" i="2" s="1"/>
  <c r="P44" i="3"/>
  <c r="O13" i="2" s="1"/>
  <c r="V43" i="3"/>
  <c r="N19" i="2" s="1"/>
  <c r="S43" i="3"/>
  <c r="N16" i="2" s="1"/>
  <c r="V47" i="3"/>
  <c r="S19" i="2" s="1"/>
  <c r="Q47" i="3"/>
  <c r="S14" i="2" s="1"/>
  <c r="W63" i="3"/>
  <c r="E29" i="2" s="1"/>
  <c r="R63" i="3"/>
  <c r="E24" i="2" s="1"/>
  <c r="W67" i="3"/>
  <c r="I29" i="2" s="1"/>
  <c r="R67" i="3"/>
  <c r="I24" i="2" s="1"/>
  <c r="V71" i="3"/>
  <c r="N28" i="2" s="1"/>
  <c r="W94" i="3"/>
  <c r="H38" i="2" s="1"/>
  <c r="U102" i="3"/>
  <c r="Q36" i="2" s="1"/>
  <c r="W5" i="3"/>
  <c r="C11" i="2" s="1"/>
  <c r="Q5" i="3"/>
  <c r="C5" i="2" s="1"/>
  <c r="W8" i="3"/>
  <c r="F11" i="2" s="1"/>
  <c r="W16" i="3"/>
  <c r="O11" i="2" s="1"/>
  <c r="W20" i="3"/>
  <c r="T11" i="2" s="1"/>
  <c r="P28" i="3"/>
  <c r="V35" i="3"/>
  <c r="E19" i="2" s="1"/>
  <c r="Q35" i="3"/>
  <c r="E14" i="2" s="1"/>
  <c r="V39" i="3"/>
  <c r="I19" i="2" s="1"/>
  <c r="P47" i="3"/>
  <c r="S13" i="2" s="1"/>
  <c r="U43" i="3"/>
  <c r="N18" i="2" s="1"/>
  <c r="U47" i="3"/>
  <c r="S18" i="2" s="1"/>
  <c r="V63" i="3"/>
  <c r="E28" i="2" s="1"/>
  <c r="Q63" i="3"/>
  <c r="E23" i="2" s="1"/>
  <c r="V67" i="3"/>
  <c r="I28" i="2" s="1"/>
  <c r="Q67" i="3"/>
  <c r="I23" i="2" s="1"/>
  <c r="Q91" i="3"/>
  <c r="E32" i="2" s="1"/>
  <c r="T94" i="3"/>
  <c r="H35" i="2" s="1"/>
  <c r="R118" i="3"/>
  <c r="D42" i="2" s="1"/>
  <c r="P10" i="3"/>
  <c r="I4" i="2" s="1"/>
  <c r="S103" i="3"/>
  <c r="S34" i="2" s="1"/>
  <c r="U34" i="2" s="1"/>
  <c r="W103" i="3"/>
  <c r="S38" i="2" s="1"/>
  <c r="U38" i="2" s="1"/>
  <c r="S99" i="3"/>
  <c r="N34" i="2" s="1"/>
  <c r="W99" i="3"/>
  <c r="N38" i="2" s="1"/>
  <c r="R75" i="3"/>
  <c r="S24" i="2" s="1"/>
  <c r="V75" i="3"/>
  <c r="S28" i="2" s="1"/>
  <c r="S75" i="3"/>
  <c r="S25" i="2" s="1"/>
  <c r="W75" i="3"/>
  <c r="S29" i="2" s="1"/>
  <c r="S71" i="3"/>
  <c r="N25" i="2" s="1"/>
  <c r="W71" i="3"/>
  <c r="N29" i="2" s="1"/>
  <c r="P71" i="3"/>
  <c r="N22" i="2" s="1"/>
  <c r="T39" i="3"/>
  <c r="I17" i="2" s="1"/>
  <c r="P39" i="3"/>
  <c r="I13" i="2" s="1"/>
  <c r="Q28" i="3"/>
  <c r="AE5" i="2" s="1"/>
  <c r="AF5" i="2" s="1"/>
  <c r="U28" i="3"/>
  <c r="AE9" i="2" s="1"/>
  <c r="AF9" i="2" s="1"/>
  <c r="Q20" i="3"/>
  <c r="T5" i="2" s="1"/>
  <c r="U20" i="3"/>
  <c r="T9" i="2" s="1"/>
  <c r="Q16" i="3"/>
  <c r="O5" i="2" s="1"/>
  <c r="U16" i="3"/>
  <c r="O9" i="2" s="1"/>
  <c r="P12" i="3"/>
  <c r="K4" i="2" s="1"/>
  <c r="R12" i="3"/>
  <c r="J6" i="2" s="1"/>
  <c r="V12" i="3"/>
  <c r="J10" i="2" s="1"/>
  <c r="Q8" i="3"/>
  <c r="F5" i="2" s="1"/>
  <c r="U8" i="3"/>
  <c r="F9" i="2" s="1"/>
  <c r="T5" i="3"/>
  <c r="C8" i="2" s="1"/>
  <c r="P5" i="3"/>
  <c r="C4" i="2" s="1"/>
  <c r="P102" i="3"/>
  <c r="Q31" i="2" s="1"/>
  <c r="T102" i="3"/>
  <c r="Q35" i="2" s="1"/>
  <c r="T98" i="3"/>
  <c r="M35" i="2" s="1"/>
  <c r="P98" i="3"/>
  <c r="M31" i="2" s="1"/>
  <c r="Q122" i="3"/>
  <c r="H41" i="2" s="1"/>
  <c r="R94" i="3"/>
  <c r="H33" i="2" s="1"/>
  <c r="U122" i="3"/>
  <c r="H45" i="2" s="1"/>
  <c r="V94" i="3"/>
  <c r="H37" i="2" s="1"/>
  <c r="S90" i="3"/>
  <c r="D34" i="2" s="1"/>
  <c r="W90" i="3"/>
  <c r="D38" i="2" s="1"/>
  <c r="R71" i="3"/>
  <c r="N24" i="2" s="1"/>
  <c r="U75" i="3"/>
  <c r="S27" i="2" s="1"/>
  <c r="U27" i="2" s="1"/>
  <c r="V126" i="3"/>
  <c r="M46" i="2" s="1"/>
  <c r="R130" i="3"/>
  <c r="Q42" i="2" s="1"/>
  <c r="U126" i="3"/>
  <c r="M45" i="2" s="1"/>
  <c r="V48" i="3"/>
  <c r="T19" i="2" s="1"/>
  <c r="U44" i="3"/>
  <c r="O18" i="2" s="1"/>
  <c r="W40" i="3"/>
  <c r="J20" i="2" s="1"/>
  <c r="V36" i="3"/>
  <c r="F19" i="2" s="1"/>
  <c r="Q131" i="3"/>
  <c r="S41" i="2" s="1"/>
  <c r="U41" i="2" s="1"/>
  <c r="V19" i="3"/>
  <c r="S10" i="2" s="1"/>
  <c r="U34" i="3"/>
  <c r="D18" i="2" s="1"/>
  <c r="U38" i="3"/>
  <c r="H18" i="2" s="1"/>
  <c r="P46" i="3"/>
  <c r="Q13" i="2" s="1"/>
  <c r="U42" i="3"/>
  <c r="M18" i="2" s="1"/>
  <c r="U46" i="3"/>
  <c r="Q18" i="2" s="1"/>
  <c r="P66" i="3"/>
  <c r="H22" i="2" s="1"/>
  <c r="U62" i="3"/>
  <c r="D27" i="2" s="1"/>
  <c r="W64" i="3"/>
  <c r="F29" i="2" s="1"/>
  <c r="U66" i="3"/>
  <c r="H27" i="2" s="1"/>
  <c r="T68" i="3"/>
  <c r="J26" i="2" s="1"/>
  <c r="W74" i="3"/>
  <c r="Q29" i="2" s="1"/>
  <c r="S74" i="3"/>
  <c r="Q25" i="2" s="1"/>
  <c r="P90" i="3"/>
  <c r="D31" i="2" s="1"/>
  <c r="V90" i="3"/>
  <c r="D37" i="2" s="1"/>
  <c r="R92" i="3"/>
  <c r="F33" i="2" s="1"/>
  <c r="U94" i="3"/>
  <c r="H36" i="2" s="1"/>
  <c r="Q94" i="3"/>
  <c r="H32" i="2" s="1"/>
  <c r="W98" i="3"/>
  <c r="M38" i="2" s="1"/>
  <c r="W102" i="3"/>
  <c r="Q38" i="2" s="1"/>
  <c r="R122" i="3"/>
  <c r="H42" i="2" s="1"/>
  <c r="P120" i="3"/>
  <c r="F40" i="2" s="1"/>
  <c r="P127" i="3"/>
  <c r="N40" i="2" s="1"/>
  <c r="Q119" i="3"/>
  <c r="E41" i="2" s="1"/>
  <c r="W123" i="3"/>
  <c r="I47" i="2" s="1"/>
  <c r="U124" i="3"/>
  <c r="J45" i="2" s="1"/>
  <c r="T127" i="3"/>
  <c r="N44" i="2" s="1"/>
  <c r="W132" i="3"/>
  <c r="T47" i="2" s="1"/>
  <c r="Q48" i="3"/>
  <c r="T14" i="2" s="1"/>
  <c r="T44" i="3"/>
  <c r="O17" i="2" s="1"/>
  <c r="R40" i="3"/>
  <c r="J15" i="2" s="1"/>
  <c r="S36" i="3"/>
  <c r="F16" i="2" s="1"/>
  <c r="U13" i="3"/>
  <c r="K9" i="2" s="1"/>
  <c r="Q130" i="3"/>
  <c r="Q41" i="2" s="1"/>
  <c r="T126" i="3"/>
  <c r="M44" i="2" s="1"/>
  <c r="P122" i="3"/>
  <c r="H40" i="2" s="1"/>
  <c r="Q118" i="3"/>
  <c r="D41" i="2" s="1"/>
  <c r="R103" i="3"/>
  <c r="S33" i="2" s="1"/>
  <c r="R99" i="3"/>
  <c r="N33" i="2" s="1"/>
  <c r="S95" i="3"/>
  <c r="I34" i="2" s="1"/>
  <c r="P91" i="3"/>
  <c r="E31" i="2" s="1"/>
  <c r="Q36" i="3"/>
  <c r="F14" i="2" s="1"/>
  <c r="T36" i="3"/>
  <c r="F17" i="2" s="1"/>
  <c r="U40" i="3"/>
  <c r="J18" i="2" s="1"/>
  <c r="Q40" i="3"/>
  <c r="J14" i="2" s="1"/>
  <c r="W44" i="3"/>
  <c r="O20" i="2" s="1"/>
  <c r="S44" i="3"/>
  <c r="O16" i="2" s="1"/>
  <c r="T48" i="3"/>
  <c r="T17" i="2" s="1"/>
  <c r="U17" i="2" s="1"/>
  <c r="V56" i="3"/>
  <c r="AE19" i="2" s="1"/>
  <c r="AF19" i="2" s="1"/>
  <c r="R56" i="3"/>
  <c r="AE15" i="2" s="1"/>
  <c r="AF15" i="2" s="1"/>
  <c r="P64" i="3"/>
  <c r="F22" i="2" s="1"/>
  <c r="U64" i="3"/>
  <c r="F27" i="2" s="1"/>
  <c r="Q64" i="3"/>
  <c r="F23" i="2" s="1"/>
  <c r="V68" i="3"/>
  <c r="J28" i="2" s="1"/>
  <c r="R68" i="3"/>
  <c r="J24" i="2" s="1"/>
  <c r="W72" i="3"/>
  <c r="O29" i="2" s="1"/>
  <c r="S72" i="3"/>
  <c r="O25" i="2" s="1"/>
  <c r="W76" i="3"/>
  <c r="T29" i="2" s="1"/>
  <c r="S76" i="3"/>
  <c r="T25" i="2" s="1"/>
  <c r="Q72" i="3"/>
  <c r="O23" i="2" s="1"/>
  <c r="V95" i="3"/>
  <c r="I37" i="2" s="1"/>
  <c r="R95" i="3"/>
  <c r="I33" i="2" s="1"/>
  <c r="W91" i="3"/>
  <c r="E38" i="2" s="1"/>
  <c r="S91" i="3"/>
  <c r="E34" i="2" s="1"/>
  <c r="P92" i="3"/>
  <c r="F31" i="2" s="1"/>
  <c r="T92" i="3"/>
  <c r="F35" i="2" s="1"/>
  <c r="P95" i="3"/>
  <c r="I31" i="2" s="1"/>
  <c r="U96" i="3"/>
  <c r="J36" i="2" s="1"/>
  <c r="Q96" i="3"/>
  <c r="J32" i="2" s="1"/>
  <c r="U99" i="3"/>
  <c r="N36" i="2" s="1"/>
  <c r="Q99" i="3"/>
  <c r="N32" i="2" s="1"/>
  <c r="U100" i="3"/>
  <c r="O36" i="2" s="1"/>
  <c r="Q100" i="3"/>
  <c r="O32" i="2" s="1"/>
  <c r="U103" i="3"/>
  <c r="S36" i="2" s="1"/>
  <c r="Q103" i="3"/>
  <c r="S32" i="2" s="1"/>
  <c r="U104" i="3"/>
  <c r="T36" i="2" s="1"/>
  <c r="Q104" i="3"/>
  <c r="T32" i="2" s="1"/>
  <c r="P130" i="3"/>
  <c r="Q40" i="2" s="1"/>
  <c r="T118" i="3"/>
  <c r="D44" i="2" s="1"/>
  <c r="W119" i="3"/>
  <c r="E47" i="2" s="1"/>
  <c r="S119" i="3"/>
  <c r="E43" i="2" s="1"/>
  <c r="U123" i="3"/>
  <c r="I45" i="2" s="1"/>
  <c r="Q123" i="3"/>
  <c r="I41" i="2" s="1"/>
  <c r="W126" i="3"/>
  <c r="M47" i="2" s="1"/>
  <c r="S126" i="3"/>
  <c r="M43" i="2" s="1"/>
  <c r="V127" i="3"/>
  <c r="N46" i="2" s="1"/>
  <c r="R127" i="3"/>
  <c r="N42" i="2" s="1"/>
  <c r="T130" i="3"/>
  <c r="Q44" i="2" s="1"/>
  <c r="W131" i="3"/>
  <c r="S47" i="2" s="1"/>
  <c r="S131" i="3"/>
  <c r="S43" i="2" s="1"/>
  <c r="S101" i="3"/>
  <c r="P34" i="2" s="1"/>
  <c r="W97" i="3"/>
  <c r="K38" i="2" s="1"/>
  <c r="R93" i="3"/>
  <c r="G33" i="2" s="1"/>
  <c r="Q89" i="3"/>
  <c r="C32" i="2" s="1"/>
  <c r="P36" i="3"/>
  <c r="F13" i="2" s="1"/>
  <c r="U36" i="3"/>
  <c r="F18" i="2" s="1"/>
  <c r="W36" i="3"/>
  <c r="F20" i="2" s="1"/>
  <c r="T40" i="3"/>
  <c r="J17" i="2" s="1"/>
  <c r="P56" i="3"/>
  <c r="AE13" i="2" s="1"/>
  <c r="AF13" i="2" s="1"/>
  <c r="V44" i="3"/>
  <c r="O19" i="2" s="1"/>
  <c r="R44" i="3"/>
  <c r="O15" i="2" s="1"/>
  <c r="W48" i="3"/>
  <c r="T20" i="2" s="1"/>
  <c r="S48" i="3"/>
  <c r="T16" i="2" s="1"/>
  <c r="U56" i="3"/>
  <c r="AE18" i="2" s="1"/>
  <c r="AF18" i="2" s="1"/>
  <c r="Q56" i="3"/>
  <c r="AE14" i="2" s="1"/>
  <c r="AF14" i="2" s="1"/>
  <c r="P76" i="3"/>
  <c r="T22" i="2" s="1"/>
  <c r="U22" i="2" s="1"/>
  <c r="T64" i="3"/>
  <c r="F26" i="2" s="1"/>
  <c r="U68" i="3"/>
  <c r="J27" i="2" s="1"/>
  <c r="Q68" i="3"/>
  <c r="J23" i="2" s="1"/>
  <c r="V72" i="3"/>
  <c r="O28" i="2" s="1"/>
  <c r="R72" i="3"/>
  <c r="O24" i="2" s="1"/>
  <c r="V76" i="3"/>
  <c r="T28" i="2" s="1"/>
  <c r="R76" i="3"/>
  <c r="T24" i="2" s="1"/>
  <c r="P68" i="3"/>
  <c r="J22" i="2" s="1"/>
  <c r="U95" i="3"/>
  <c r="I36" i="2" s="1"/>
  <c r="Q95" i="3"/>
  <c r="I32" i="2" s="1"/>
  <c r="V91" i="3"/>
  <c r="E37" i="2" s="1"/>
  <c r="R91" i="3"/>
  <c r="E33" i="2" s="1"/>
  <c r="W92" i="3"/>
  <c r="F38" i="2" s="1"/>
  <c r="S92" i="3"/>
  <c r="F34" i="2" s="1"/>
  <c r="P96" i="3"/>
  <c r="J31" i="2" s="1"/>
  <c r="T96" i="3"/>
  <c r="J35" i="2" s="1"/>
  <c r="P99" i="3"/>
  <c r="N31" i="2" s="1"/>
  <c r="T99" i="3"/>
  <c r="N35" i="2" s="1"/>
  <c r="P100" i="3"/>
  <c r="O31" i="2" s="1"/>
  <c r="T100" i="3"/>
  <c r="O35" i="2" s="1"/>
  <c r="P103" i="3"/>
  <c r="S31" i="2" s="1"/>
  <c r="T103" i="3"/>
  <c r="S35" i="2" s="1"/>
  <c r="P104" i="3"/>
  <c r="T31" i="2" s="1"/>
  <c r="T104" i="3"/>
  <c r="T35" i="2" s="1"/>
  <c r="P118" i="3"/>
  <c r="D40" i="2" s="1"/>
  <c r="P123" i="3"/>
  <c r="I40" i="2" s="1"/>
  <c r="P126" i="3"/>
  <c r="M40" i="2" s="1"/>
  <c r="P131" i="3"/>
  <c r="S40" i="2" s="1"/>
  <c r="W118" i="3"/>
  <c r="D47" i="2" s="1"/>
  <c r="S118" i="3"/>
  <c r="D43" i="2" s="1"/>
  <c r="V119" i="3"/>
  <c r="E46" i="2" s="1"/>
  <c r="R119" i="3"/>
  <c r="E42" i="2" s="1"/>
  <c r="T123" i="3"/>
  <c r="I44" i="2" s="1"/>
  <c r="R126" i="3"/>
  <c r="M42" i="2" s="1"/>
  <c r="U127" i="3"/>
  <c r="N45" i="2" s="1"/>
  <c r="Q127" i="3"/>
  <c r="N41" i="2" s="1"/>
  <c r="W130" i="3"/>
  <c r="Q47" i="2" s="1"/>
  <c r="S130" i="3"/>
  <c r="Q43" i="2" s="1"/>
  <c r="V131" i="3"/>
  <c r="S46" i="2" s="1"/>
  <c r="R131" i="3"/>
  <c r="S42" i="2" s="1"/>
  <c r="S73" i="3"/>
  <c r="P25" i="2" s="1"/>
  <c r="T69" i="3"/>
  <c r="K26" i="2" s="1"/>
  <c r="T65" i="3"/>
  <c r="G26" i="2" s="1"/>
  <c r="T61" i="3"/>
  <c r="C26" i="2" s="1"/>
  <c r="R45" i="3"/>
  <c r="P15" i="2" s="1"/>
  <c r="T41" i="3"/>
  <c r="K17" i="2" s="1"/>
  <c r="T37" i="3"/>
  <c r="G17" i="2" s="1"/>
  <c r="U33" i="3"/>
  <c r="C18" i="2" s="1"/>
  <c r="V40" i="3"/>
  <c r="J19" i="2" s="1"/>
  <c r="U48" i="3"/>
  <c r="T18" i="2" s="1"/>
  <c r="U18" i="2" s="1"/>
  <c r="W56" i="3"/>
  <c r="AE20" i="2" s="1"/>
  <c r="AF20" i="2" s="1"/>
  <c r="V64" i="3"/>
  <c r="F28" i="2" s="1"/>
  <c r="W68" i="3"/>
  <c r="J29" i="2" s="1"/>
  <c r="W95" i="3"/>
  <c r="I38" i="2" s="1"/>
  <c r="T91" i="3"/>
  <c r="E35" i="2" s="1"/>
  <c r="U92" i="3"/>
  <c r="F36" i="2" s="1"/>
  <c r="V96" i="3"/>
  <c r="J37" i="2" s="1"/>
  <c r="V99" i="3"/>
  <c r="N37" i="2" s="1"/>
  <c r="V100" i="3"/>
  <c r="O37" i="2" s="1"/>
  <c r="V103" i="3"/>
  <c r="S37" i="2" s="1"/>
  <c r="V104" i="3"/>
  <c r="T37" i="2" s="1"/>
  <c r="U118" i="3"/>
  <c r="D45" i="2" s="1"/>
  <c r="V123" i="3"/>
  <c r="I46" i="2" s="1"/>
  <c r="W127" i="3"/>
  <c r="N47" i="2" s="1"/>
  <c r="U130" i="3"/>
  <c r="Q45" i="2" s="1"/>
  <c r="S121" i="3"/>
  <c r="G43" i="2" s="1"/>
  <c r="W117" i="3"/>
  <c r="C47" i="2" s="1"/>
  <c r="S17" i="3"/>
  <c r="P7" i="2" s="1"/>
  <c r="S9" i="3"/>
  <c r="G7" i="2" s="1"/>
  <c r="W9" i="3"/>
  <c r="G11" i="2" s="1"/>
  <c r="V45" i="3"/>
  <c r="P19" i="2" s="1"/>
  <c r="W73" i="3"/>
  <c r="P29" i="2" s="1"/>
  <c r="T97" i="3"/>
  <c r="K35" i="2" s="1"/>
  <c r="T73" i="3"/>
  <c r="P26" i="2" s="1"/>
  <c r="Q69" i="3"/>
  <c r="K23" i="2" s="1"/>
  <c r="Q65" i="3"/>
  <c r="G23" i="2" s="1"/>
  <c r="P61" i="3"/>
  <c r="C22" i="2" s="1"/>
  <c r="S45" i="3"/>
  <c r="P16" i="2" s="1"/>
  <c r="Q41" i="3"/>
  <c r="K14" i="2" s="1"/>
  <c r="Q37" i="3"/>
  <c r="G14" i="2" s="1"/>
  <c r="Q33" i="3"/>
  <c r="C14" i="2" s="1"/>
  <c r="T17" i="3"/>
  <c r="P8" i="2" s="1"/>
  <c r="R13" i="3"/>
  <c r="K6" i="2" s="1"/>
  <c r="Q9" i="3"/>
  <c r="G5" i="2" s="1"/>
  <c r="C31" i="2"/>
  <c r="Q129" i="3"/>
  <c r="P41" i="2" s="1"/>
  <c r="U129" i="3"/>
  <c r="P45" i="2" s="1"/>
  <c r="R129" i="3"/>
  <c r="P42" i="2" s="1"/>
  <c r="V129" i="3"/>
  <c r="P46" i="2" s="1"/>
  <c r="P129" i="3"/>
  <c r="P40" i="2" s="1"/>
  <c r="S129" i="3"/>
  <c r="P43" i="2" s="1"/>
  <c r="W129" i="3"/>
  <c r="P47" i="2" s="1"/>
  <c r="Q125" i="3"/>
  <c r="K41" i="2" s="1"/>
  <c r="U125" i="3"/>
  <c r="K45" i="2" s="1"/>
  <c r="R125" i="3"/>
  <c r="K42" i="2" s="1"/>
  <c r="V125" i="3"/>
  <c r="K46" i="2" s="1"/>
  <c r="P125" i="3"/>
  <c r="K40" i="2" s="1"/>
  <c r="S125" i="3"/>
  <c r="K43" i="2" s="1"/>
  <c r="W125" i="3"/>
  <c r="K47" i="2" s="1"/>
  <c r="T121" i="3"/>
  <c r="G44" i="2" s="1"/>
  <c r="Q121" i="3"/>
  <c r="G41" i="2" s="1"/>
  <c r="U121" i="3"/>
  <c r="G45" i="2" s="1"/>
  <c r="R121" i="3"/>
  <c r="G42" i="2" s="1"/>
  <c r="V121" i="3"/>
  <c r="G46" i="2" s="1"/>
  <c r="T117" i="3"/>
  <c r="C44" i="2" s="1"/>
  <c r="Q117" i="3"/>
  <c r="C41" i="2" s="1"/>
  <c r="U117" i="3"/>
  <c r="C45" i="2" s="1"/>
  <c r="R117" i="3"/>
  <c r="V117" i="3"/>
  <c r="S93" i="3"/>
  <c r="G34" i="2" s="1"/>
  <c r="W93" i="3"/>
  <c r="G38" i="2" s="1"/>
  <c r="P93" i="3"/>
  <c r="G31" i="2" s="1"/>
  <c r="T93" i="3"/>
  <c r="G35" i="2" s="1"/>
  <c r="S89" i="3"/>
  <c r="C34" i="2" s="1"/>
  <c r="T89" i="3"/>
  <c r="C35" i="2" s="1"/>
  <c r="P37" i="3"/>
  <c r="G13" i="2" s="1"/>
  <c r="P41" i="3"/>
  <c r="K13" i="2" s="1"/>
  <c r="T33" i="3"/>
  <c r="C17" i="2" s="1"/>
  <c r="W37" i="3"/>
  <c r="G20" i="2" s="1"/>
  <c r="S37" i="3"/>
  <c r="G16" i="2" s="1"/>
  <c r="W41" i="3"/>
  <c r="K20" i="2" s="1"/>
  <c r="S41" i="3"/>
  <c r="K16" i="2" s="1"/>
  <c r="U45" i="3"/>
  <c r="P18" i="2" s="1"/>
  <c r="Q45" i="3"/>
  <c r="P14" i="2" s="1"/>
  <c r="S33" i="3"/>
  <c r="P65" i="3"/>
  <c r="G22" i="2" s="1"/>
  <c r="W61" i="3"/>
  <c r="C29" i="2" s="1"/>
  <c r="S61" i="3"/>
  <c r="W65" i="3"/>
  <c r="G29" i="2" s="1"/>
  <c r="S65" i="3"/>
  <c r="G25" i="2" s="1"/>
  <c r="W69" i="3"/>
  <c r="K29" i="2" s="1"/>
  <c r="S69" i="3"/>
  <c r="K25" i="2" s="1"/>
  <c r="N27" i="2"/>
  <c r="V73" i="3"/>
  <c r="P28" i="2" s="1"/>
  <c r="Q73" i="3"/>
  <c r="P23" i="2" s="1"/>
  <c r="V89" i="3"/>
  <c r="C37" i="2" s="1"/>
  <c r="Q93" i="3"/>
  <c r="G32" i="2" s="1"/>
  <c r="S117" i="3"/>
  <c r="C43" i="2" s="1"/>
  <c r="T129" i="3"/>
  <c r="P44" i="2" s="1"/>
  <c r="AF22" i="2"/>
  <c r="AF30" i="2" s="1"/>
  <c r="AE30" i="2"/>
  <c r="Q97" i="3"/>
  <c r="K32" i="2" s="1"/>
  <c r="U97" i="3"/>
  <c r="K36" i="2" s="1"/>
  <c r="R97" i="3"/>
  <c r="K33" i="2" s="1"/>
  <c r="V97" i="3"/>
  <c r="K37" i="2" s="1"/>
  <c r="W33" i="3"/>
  <c r="V37" i="3"/>
  <c r="G19" i="2" s="1"/>
  <c r="R37" i="3"/>
  <c r="G15" i="2" s="1"/>
  <c r="V41" i="3"/>
  <c r="K19" i="2" s="1"/>
  <c r="R41" i="3"/>
  <c r="K15" i="2" s="1"/>
  <c r="P45" i="3"/>
  <c r="P13" i="2" s="1"/>
  <c r="T45" i="3"/>
  <c r="P17" i="2" s="1"/>
  <c r="V61" i="3"/>
  <c r="R61" i="3"/>
  <c r="C24" i="2" s="1"/>
  <c r="V65" i="3"/>
  <c r="G28" i="2" s="1"/>
  <c r="R65" i="3"/>
  <c r="G24" i="2" s="1"/>
  <c r="V69" i="3"/>
  <c r="K28" i="2" s="1"/>
  <c r="R69" i="3"/>
  <c r="K24" i="2" s="1"/>
  <c r="U73" i="3"/>
  <c r="P27" i="2" s="1"/>
  <c r="U89" i="3"/>
  <c r="C36" i="2" s="1"/>
  <c r="V93" i="3"/>
  <c r="G37" i="2" s="1"/>
  <c r="S97" i="3"/>
  <c r="K34" i="2" s="1"/>
  <c r="P117" i="3"/>
  <c r="C40" i="2" s="1"/>
  <c r="P121" i="3"/>
  <c r="G40" i="2" s="1"/>
  <c r="T101" i="3"/>
  <c r="P35" i="2" s="1"/>
  <c r="P101" i="3"/>
  <c r="P31" i="2" s="1"/>
  <c r="Q101" i="3"/>
  <c r="P32" i="2" s="1"/>
  <c r="U101" i="3"/>
  <c r="P36" i="2" s="1"/>
  <c r="R101" i="3"/>
  <c r="P33" i="2" s="1"/>
  <c r="V101" i="3"/>
  <c r="P37" i="2" s="1"/>
  <c r="R33" i="3"/>
  <c r="C15" i="2" s="1"/>
  <c r="T9" i="3"/>
  <c r="G8" i="2" s="1"/>
  <c r="T13" i="3"/>
  <c r="K8" i="2" s="1"/>
  <c r="R17" i="3"/>
  <c r="P6" i="2" s="1"/>
  <c r="P33" i="3"/>
  <c r="C13" i="2" s="1"/>
  <c r="V33" i="3"/>
  <c r="C19" i="2" s="1"/>
  <c r="U37" i="3"/>
  <c r="U41" i="3"/>
  <c r="K18" i="2" s="1"/>
  <c r="W45" i="3"/>
  <c r="P20" i="2" s="1"/>
  <c r="U61" i="3"/>
  <c r="C27" i="2" s="1"/>
  <c r="Q61" i="3"/>
  <c r="C23" i="2" s="1"/>
  <c r="U65" i="3"/>
  <c r="G27" i="2" s="1"/>
  <c r="U69" i="3"/>
  <c r="K27" i="2" s="1"/>
  <c r="M26" i="2"/>
  <c r="AF31" i="2"/>
  <c r="AF39" i="2" s="1"/>
  <c r="AE39" i="2"/>
  <c r="R89" i="3"/>
  <c r="C33" i="2" s="1"/>
  <c r="U93" i="3"/>
  <c r="G36" i="2" s="1"/>
  <c r="P97" i="3"/>
  <c r="K31" i="2" s="1"/>
  <c r="W101" i="3"/>
  <c r="P38" i="2" s="1"/>
  <c r="E45" i="2"/>
  <c r="W121" i="3"/>
  <c r="G47" i="2" s="1"/>
  <c r="T125" i="3"/>
  <c r="K44" i="2" s="1"/>
  <c r="Q13" i="3"/>
  <c r="K5" i="2" s="1"/>
  <c r="P17" i="3"/>
  <c r="Q4" i="2" s="1"/>
  <c r="W17" i="3"/>
  <c r="P11" i="2" s="1"/>
  <c r="U6" i="2"/>
  <c r="P13" i="3"/>
  <c r="M4" i="2" s="1"/>
  <c r="V17" i="3"/>
  <c r="P10" i="2" s="1"/>
  <c r="V9" i="3"/>
  <c r="G10" i="2" s="1"/>
  <c r="R9" i="3"/>
  <c r="G6" i="2" s="1"/>
  <c r="W13" i="3"/>
  <c r="K11" i="2" s="1"/>
  <c r="S13" i="3"/>
  <c r="K7" i="2" s="1"/>
  <c r="U17" i="3"/>
  <c r="P9" i="2" s="1"/>
  <c r="Q17" i="3"/>
  <c r="P5" i="2" s="1"/>
  <c r="P9" i="3"/>
  <c r="H4" i="2" s="1"/>
  <c r="U9" i="3"/>
  <c r="G9" i="2" s="1"/>
  <c r="V13" i="3"/>
  <c r="K10" i="2" s="1"/>
  <c r="AD7" i="2"/>
  <c r="AD11" i="2"/>
  <c r="AD14" i="2"/>
  <c r="AD15" i="2"/>
  <c r="AD17" i="2"/>
  <c r="AD27" i="2"/>
  <c r="AD32" i="2"/>
  <c r="AD36" i="2"/>
  <c r="AD41" i="2"/>
  <c r="AD45" i="2"/>
  <c r="AD5" i="2"/>
  <c r="AD6" i="2"/>
  <c r="AD9" i="2"/>
  <c r="AD22" i="2"/>
  <c r="AD25" i="2"/>
  <c r="AD26" i="2"/>
  <c r="AD31" i="2"/>
  <c r="AD35" i="2"/>
  <c r="AD38" i="2"/>
  <c r="AD40" i="2"/>
  <c r="AD43" i="2"/>
  <c r="AD44" i="2"/>
  <c r="AD10" i="2"/>
  <c r="AD13" i="2"/>
  <c r="AD16" i="2"/>
  <c r="AD19" i="2"/>
  <c r="AD20" i="2"/>
  <c r="AD24" i="2"/>
  <c r="AD28" i="2"/>
  <c r="AD29" i="2"/>
  <c r="AD34" i="2"/>
  <c r="AD47" i="2"/>
  <c r="U24" i="2" l="1"/>
  <c r="Q12" i="2"/>
  <c r="U46" i="2"/>
  <c r="D12" i="2"/>
  <c r="M12" i="2"/>
  <c r="AD21" i="2"/>
  <c r="H21" i="2"/>
  <c r="U23" i="2"/>
  <c r="H12" i="2"/>
  <c r="U11" i="2"/>
  <c r="U8" i="2"/>
  <c r="AD30" i="2"/>
  <c r="R17" i="2"/>
  <c r="AD48" i="2"/>
  <c r="AD39" i="2"/>
  <c r="R27" i="2"/>
  <c r="U44" i="2"/>
  <c r="AD4" i="2"/>
  <c r="R6" i="2"/>
  <c r="U42" i="2"/>
  <c r="U40" i="2"/>
  <c r="R36" i="2"/>
  <c r="U7" i="2"/>
  <c r="I12" i="2"/>
  <c r="J30" i="2"/>
  <c r="R41" i="2"/>
  <c r="R38" i="2"/>
  <c r="R7" i="2"/>
  <c r="U9" i="2"/>
  <c r="E12" i="2"/>
  <c r="J48" i="2"/>
  <c r="H30" i="2"/>
  <c r="U5" i="2"/>
  <c r="AF48" i="2"/>
  <c r="R23" i="2"/>
  <c r="R34" i="2"/>
  <c r="AF12" i="2"/>
  <c r="R33" i="2"/>
  <c r="R35" i="2"/>
  <c r="R43" i="2"/>
  <c r="R45" i="2"/>
  <c r="U20" i="2"/>
  <c r="U36" i="2"/>
  <c r="U29" i="2"/>
  <c r="U19" i="2"/>
  <c r="S21" i="2"/>
  <c r="R44" i="2"/>
  <c r="R10" i="2"/>
  <c r="R11" i="2"/>
  <c r="R19" i="2"/>
  <c r="AE48" i="2"/>
  <c r="O48" i="2"/>
  <c r="N12" i="2"/>
  <c r="R46" i="2"/>
  <c r="U28" i="2"/>
  <c r="D21" i="2"/>
  <c r="U13" i="2"/>
  <c r="R5" i="2"/>
  <c r="F48" i="2"/>
  <c r="E48" i="2"/>
  <c r="R28" i="2"/>
  <c r="J39" i="2"/>
  <c r="F4" i="2"/>
  <c r="F12" i="2" s="1"/>
  <c r="R20" i="2"/>
  <c r="R25" i="2"/>
  <c r="O30" i="2"/>
  <c r="H39" i="2"/>
  <c r="Q30" i="2"/>
  <c r="M21" i="2"/>
  <c r="S12" i="2"/>
  <c r="R15" i="2"/>
  <c r="U31" i="2"/>
  <c r="F21" i="2"/>
  <c r="U32" i="2"/>
  <c r="U14" i="2"/>
  <c r="M48" i="2"/>
  <c r="D39" i="2"/>
  <c r="I30" i="2"/>
  <c r="T48" i="2"/>
  <c r="J12" i="2"/>
  <c r="T12" i="2"/>
  <c r="U33" i="2"/>
  <c r="R26" i="2"/>
  <c r="O39" i="2"/>
  <c r="Q21" i="2"/>
  <c r="R9" i="2"/>
  <c r="R18" i="2"/>
  <c r="D30" i="2"/>
  <c r="L47" i="2"/>
  <c r="L8" i="2"/>
  <c r="L22" i="2"/>
  <c r="U37" i="2"/>
  <c r="P85" i="3"/>
  <c r="L31" i="2"/>
  <c r="S48" i="2"/>
  <c r="T39" i="2"/>
  <c r="Q48" i="2"/>
  <c r="M39" i="2"/>
  <c r="I48" i="2"/>
  <c r="O21" i="2"/>
  <c r="H48" i="2"/>
  <c r="Q39" i="2"/>
  <c r="N30" i="2"/>
  <c r="S30" i="2"/>
  <c r="E30" i="2"/>
  <c r="R16" i="2"/>
  <c r="I21" i="2"/>
  <c r="N21" i="2"/>
  <c r="E21" i="2"/>
  <c r="O12" i="2"/>
  <c r="T113" i="3"/>
  <c r="L9" i="2"/>
  <c r="U10" i="2"/>
  <c r="R37" i="2"/>
  <c r="U43" i="2"/>
  <c r="R22" i="2"/>
  <c r="U47" i="2"/>
  <c r="L23" i="2"/>
  <c r="U25" i="2"/>
  <c r="L17" i="2"/>
  <c r="L41" i="2"/>
  <c r="AG41" i="2" s="1"/>
  <c r="AI41" i="2" s="1"/>
  <c r="R40" i="2"/>
  <c r="R29" i="2"/>
  <c r="R8" i="2"/>
  <c r="AE12" i="2"/>
  <c r="R14" i="2"/>
  <c r="U35" i="2"/>
  <c r="L33" i="2"/>
  <c r="L40" i="2"/>
  <c r="L11" i="2"/>
  <c r="L43" i="2"/>
  <c r="D48" i="2"/>
  <c r="S39" i="2"/>
  <c r="N39" i="2"/>
  <c r="F39" i="2"/>
  <c r="F30" i="2"/>
  <c r="T21" i="2"/>
  <c r="AF21" i="2"/>
  <c r="N48" i="2"/>
  <c r="I39" i="2"/>
  <c r="E39" i="2"/>
  <c r="T30" i="2"/>
  <c r="J21" i="2"/>
  <c r="L19" i="2"/>
  <c r="L35" i="2"/>
  <c r="L14" i="2"/>
  <c r="L24" i="2"/>
  <c r="L34" i="2"/>
  <c r="AG34" i="2" s="1"/>
  <c r="AI34" i="2" s="1"/>
  <c r="R31" i="2"/>
  <c r="L26" i="2"/>
  <c r="T85" i="3"/>
  <c r="R24" i="2"/>
  <c r="U16" i="2"/>
  <c r="AE21" i="2"/>
  <c r="V57" i="3"/>
  <c r="L37" i="2"/>
  <c r="L29" i="2"/>
  <c r="L44" i="2"/>
  <c r="R47" i="2"/>
  <c r="R42" i="2"/>
  <c r="L5" i="2"/>
  <c r="R4" i="2"/>
  <c r="L13" i="2"/>
  <c r="R32" i="2"/>
  <c r="L32" i="2"/>
  <c r="L38" i="2"/>
  <c r="P57" i="3"/>
  <c r="P141" i="3"/>
  <c r="P29" i="3"/>
  <c r="L45" i="2"/>
  <c r="T57" i="3"/>
  <c r="Q113" i="3"/>
  <c r="T141" i="3"/>
  <c r="K30" i="2"/>
  <c r="Q57" i="3"/>
  <c r="S113" i="3"/>
  <c r="Q141" i="3"/>
  <c r="L15" i="2"/>
  <c r="W57" i="3"/>
  <c r="C20" i="2"/>
  <c r="L20" i="2" s="1"/>
  <c r="S57" i="3"/>
  <c r="C16" i="2"/>
  <c r="L16" i="2" s="1"/>
  <c r="W85" i="3"/>
  <c r="U113" i="3"/>
  <c r="V113" i="3"/>
  <c r="T29" i="3"/>
  <c r="U57" i="3"/>
  <c r="G18" i="2"/>
  <c r="L18" i="2" s="1"/>
  <c r="W141" i="3"/>
  <c r="G48" i="2"/>
  <c r="L36" i="2"/>
  <c r="R85" i="3"/>
  <c r="K21" i="2"/>
  <c r="P48" i="2"/>
  <c r="P113" i="3"/>
  <c r="P30" i="2"/>
  <c r="R57" i="3"/>
  <c r="W113" i="3"/>
  <c r="U141" i="3"/>
  <c r="K39" i="2"/>
  <c r="L27" i="2"/>
  <c r="C46" i="2"/>
  <c r="L46" i="2" s="1"/>
  <c r="V141" i="3"/>
  <c r="K48" i="2"/>
  <c r="C39" i="2"/>
  <c r="R113" i="3"/>
  <c r="V85" i="3"/>
  <c r="C28" i="2"/>
  <c r="L28" i="2" s="1"/>
  <c r="Q85" i="3"/>
  <c r="S141" i="3"/>
  <c r="P39" i="2"/>
  <c r="P21" i="2"/>
  <c r="R13" i="2"/>
  <c r="U85" i="3"/>
  <c r="C25" i="2"/>
  <c r="L25" i="2" s="1"/>
  <c r="S85" i="3"/>
  <c r="G30" i="2"/>
  <c r="G39" i="2"/>
  <c r="R141" i="3"/>
  <c r="C42" i="2"/>
  <c r="L42" i="2" s="1"/>
  <c r="M30" i="2"/>
  <c r="W29" i="3"/>
  <c r="L10" i="2"/>
  <c r="K12" i="2"/>
  <c r="V29" i="3"/>
  <c r="S29" i="3"/>
  <c r="L7" i="2"/>
  <c r="U29" i="3"/>
  <c r="G12" i="2"/>
  <c r="AD12" i="2"/>
  <c r="Q29" i="3"/>
  <c r="P12" i="2"/>
  <c r="L6" i="2"/>
  <c r="R29" i="3"/>
  <c r="C12" i="2"/>
  <c r="V27" i="2" l="1"/>
  <c r="V43" i="2"/>
  <c r="AG17" i="2"/>
  <c r="AI17" i="2" s="1"/>
  <c r="V10" i="2"/>
  <c r="AG14" i="2"/>
  <c r="AI14" i="2" s="1"/>
  <c r="U12" i="2"/>
  <c r="V16" i="2"/>
  <c r="AG45" i="2"/>
  <c r="AI45" i="2" s="1"/>
  <c r="V11" i="2"/>
  <c r="AG36" i="2"/>
  <c r="AI36" i="2" s="1"/>
  <c r="R39" i="2"/>
  <c r="V5" i="2"/>
  <c r="AG33" i="2"/>
  <c r="AI33" i="2" s="1"/>
  <c r="AG6" i="2"/>
  <c r="AI6" i="2" s="1"/>
  <c r="V28" i="2"/>
  <c r="AG26" i="2"/>
  <c r="AI26" i="2" s="1"/>
  <c r="V36" i="2"/>
  <c r="L4" i="2"/>
  <c r="AG4" i="2" s="1"/>
  <c r="AG15" i="2"/>
  <c r="AI15" i="2" s="1"/>
  <c r="V38" i="2"/>
  <c r="AG44" i="2"/>
  <c r="AI44" i="2" s="1"/>
  <c r="V14" i="2"/>
  <c r="V23" i="2"/>
  <c r="AG5" i="2"/>
  <c r="AI5" i="2" s="1"/>
  <c r="V41" i="2"/>
  <c r="AG25" i="2"/>
  <c r="AI25" i="2" s="1"/>
  <c r="AG43" i="2"/>
  <c r="AI43" i="2" s="1"/>
  <c r="V34" i="2"/>
  <c r="U30" i="2"/>
  <c r="U48" i="2"/>
  <c r="AG7" i="2"/>
  <c r="AI7" i="2" s="1"/>
  <c r="AG32" i="2"/>
  <c r="AI32" i="2" s="1"/>
  <c r="V8" i="2"/>
  <c r="V19" i="2"/>
  <c r="AG11" i="2"/>
  <c r="AI11" i="2" s="1"/>
  <c r="AG23" i="2"/>
  <c r="AI23" i="2" s="1"/>
  <c r="V32" i="2"/>
  <c r="AG46" i="2"/>
  <c r="AI46" i="2" s="1"/>
  <c r="AG19" i="2"/>
  <c r="AI19" i="2" s="1"/>
  <c r="V33" i="2"/>
  <c r="AG8" i="2"/>
  <c r="AI8" i="2" s="1"/>
  <c r="V9" i="2"/>
  <c r="AG35" i="2"/>
  <c r="AI35" i="2" s="1"/>
  <c r="AG29" i="2"/>
  <c r="AI29" i="2" s="1"/>
  <c r="V40" i="2"/>
  <c r="V6" i="2"/>
  <c r="AG37" i="2"/>
  <c r="AI37" i="2" s="1"/>
  <c r="U39" i="2"/>
  <c r="U21" i="2"/>
  <c r="AG31" i="2"/>
  <c r="AI31" i="2" s="1"/>
  <c r="V31" i="2"/>
  <c r="V26" i="2"/>
  <c r="AG40" i="2"/>
  <c r="AI40" i="2" s="1"/>
  <c r="R21" i="2"/>
  <c r="AG38" i="2"/>
  <c r="AI38" i="2" s="1"/>
  <c r="V25" i="2"/>
  <c r="V35" i="2"/>
  <c r="V44" i="2"/>
  <c r="V20" i="2"/>
  <c r="V37" i="2"/>
  <c r="AG24" i="2"/>
  <c r="AI24" i="2" s="1"/>
  <c r="AG47" i="2"/>
  <c r="AI47" i="2" s="1"/>
  <c r="R30" i="2"/>
  <c r="G21" i="2"/>
  <c r="V47" i="2"/>
  <c r="AG20" i="2"/>
  <c r="AI20" i="2" s="1"/>
  <c r="V17" i="2"/>
  <c r="V22" i="2"/>
  <c r="AG22" i="2"/>
  <c r="AI22" i="2" s="1"/>
  <c r="AG28" i="2"/>
  <c r="AI28" i="2" s="1"/>
  <c r="AG9" i="2"/>
  <c r="AI9" i="2" s="1"/>
  <c r="V42" i="2"/>
  <c r="V24" i="2"/>
  <c r="V29" i="2"/>
  <c r="R12" i="2"/>
  <c r="L30" i="2"/>
  <c r="R48" i="2"/>
  <c r="C21" i="2"/>
  <c r="V15" i="2"/>
  <c r="L39" i="2"/>
  <c r="V45" i="2"/>
  <c r="V7" i="2"/>
  <c r="V46" i="2"/>
  <c r="AG10" i="2"/>
  <c r="AI10" i="2" s="1"/>
  <c r="L48" i="2"/>
  <c r="AG42" i="2"/>
  <c r="AI42" i="2" s="1"/>
  <c r="AG27" i="2"/>
  <c r="AI27" i="2" s="1"/>
  <c r="V18" i="2"/>
  <c r="AG18" i="2"/>
  <c r="AI18" i="2" s="1"/>
  <c r="AG13" i="2"/>
  <c r="AI13" i="2" s="1"/>
  <c r="V13" i="2"/>
  <c r="AG16" i="2"/>
  <c r="AI16" i="2" s="1"/>
  <c r="C30" i="2"/>
  <c r="C48" i="2"/>
  <c r="L21" i="2"/>
  <c r="L12" i="2"/>
  <c r="V4" i="2" l="1"/>
  <c r="AG39" i="2"/>
  <c r="AG30" i="2"/>
  <c r="AI48" i="2"/>
  <c r="AI39" i="2"/>
  <c r="V39" i="2"/>
  <c r="AI30" i="2"/>
  <c r="V30" i="2"/>
  <c r="V12" i="2"/>
  <c r="V48" i="2"/>
  <c r="AI21" i="2"/>
  <c r="AG48" i="2"/>
  <c r="AI4" i="2"/>
  <c r="AI12" i="2" s="1"/>
  <c r="AG12" i="2"/>
  <c r="V21" i="2"/>
  <c r="AG21" i="2"/>
</calcChain>
</file>

<file path=xl/sharedStrings.xml><?xml version="1.0" encoding="utf-8"?>
<sst xmlns="http://schemas.openxmlformats.org/spreadsheetml/2006/main" count="1175" uniqueCount="317">
  <si>
    <t>指标类型</t>
    <phoneticPr fontId="2" type="noConversion"/>
  </si>
  <si>
    <t>NO</t>
    <phoneticPr fontId="2" type="noConversion"/>
  </si>
  <si>
    <t>权重</t>
    <phoneticPr fontId="2" type="noConversion"/>
  </si>
  <si>
    <t>部门对市场管理、跟进力度</t>
    <phoneticPr fontId="2" type="noConversion"/>
  </si>
  <si>
    <t>当月结单金额/当月预计结单金额*100%</t>
    <phoneticPr fontId="2" type="noConversion"/>
  </si>
  <si>
    <t>应收账款达成率</t>
    <phoneticPr fontId="2" type="noConversion"/>
  </si>
  <si>
    <t>货款回收的管理和业绩</t>
    <phoneticPr fontId="2" type="noConversion"/>
  </si>
  <si>
    <t>当月回款金额/当月应收金额*100%</t>
    <phoneticPr fontId="2" type="noConversion"/>
  </si>
  <si>
    <t>成品库存周转情况或变现速度</t>
    <phoneticPr fontId="2" type="noConversion"/>
  </si>
  <si>
    <t>周转率=本期出货金额/(当初库存额+期末库存额)/2*100%</t>
    <phoneticPr fontId="2" type="noConversion"/>
  </si>
  <si>
    <t>订单交期准确率</t>
    <phoneticPr fontId="2" type="noConversion"/>
  </si>
  <si>
    <t>对订单的交期追踪能力</t>
    <phoneticPr fontId="2" type="noConversion"/>
  </si>
  <si>
    <t>（当期出货笔数-当期出货延误笔数）/当期应出货笔数*100%</t>
    <phoneticPr fontId="2" type="noConversion"/>
  </si>
  <si>
    <t>部门的营销管理能力和表现</t>
    <phoneticPr fontId="2" type="noConversion"/>
  </si>
  <si>
    <t>实际客户完整档案数/应建客户完整档案数*100%</t>
    <phoneticPr fontId="2" type="noConversion"/>
  </si>
  <si>
    <t>处理客户投诉的工作态度和工作效率及报价评估</t>
    <phoneticPr fontId="2" type="noConversion"/>
  </si>
  <si>
    <t>当期已处理客户投诉次数/英处理客户投诉次数*100%</t>
    <phoneticPr fontId="2" type="noConversion"/>
  </si>
  <si>
    <t>客户满意度调查</t>
    <phoneticPr fontId="2" type="noConversion"/>
  </si>
  <si>
    <t>部门培训计划完成率</t>
    <phoneticPr fontId="2" type="noConversion"/>
  </si>
  <si>
    <t>部门业务能力提升，培训计划执行状况</t>
    <phoneticPr fontId="2" type="noConversion"/>
  </si>
  <si>
    <t>实际完成培训时间/计划培训时间*100%</t>
    <phoneticPr fontId="2" type="noConversion"/>
  </si>
  <si>
    <t>对物流传输，车辆调度的管理</t>
    <phoneticPr fontId="2" type="noConversion"/>
  </si>
  <si>
    <t>管理事项统计表</t>
    <phoneticPr fontId="2" type="noConversion"/>
  </si>
  <si>
    <t>工资发放（人/次数）出错率</t>
    <phoneticPr fontId="2" type="noConversion"/>
  </si>
  <si>
    <t>管理工资发放的准确性及工作责任</t>
    <phoneticPr fontId="2" type="noConversion"/>
  </si>
  <si>
    <t>错误发放工资次数/发放的工资次数*100%  错误发放的人数/发放的如说*100%</t>
    <phoneticPr fontId="2" type="noConversion"/>
  </si>
  <si>
    <t>员工绩效考核的按时完成率</t>
    <phoneticPr fontId="2" type="noConversion"/>
  </si>
  <si>
    <t>绩效考核的及时达成</t>
    <phoneticPr fontId="2" type="noConversion"/>
  </si>
  <si>
    <t>按时完成的绩效考核数/绩效考核总数*100%</t>
    <phoneticPr fontId="2" type="noConversion"/>
  </si>
  <si>
    <t>招聘计划完成率</t>
    <phoneticPr fontId="2" type="noConversion"/>
  </si>
  <si>
    <t>人员招聘的有效补充</t>
    <phoneticPr fontId="2" type="noConversion"/>
  </si>
  <si>
    <t>每月招聘到岗人数/计划招聘人数*100%</t>
    <phoneticPr fontId="2" type="noConversion"/>
  </si>
  <si>
    <t>人员编制控制率</t>
    <phoneticPr fontId="2" type="noConversion"/>
  </si>
  <si>
    <t>人员招聘计划</t>
    <phoneticPr fontId="2" type="noConversion"/>
  </si>
  <si>
    <t>实际人数/计划编制人数*100%</t>
    <phoneticPr fontId="2" type="noConversion"/>
  </si>
  <si>
    <t>员工流失率</t>
    <phoneticPr fontId="2" type="noConversion"/>
  </si>
  <si>
    <t>员工</t>
    <phoneticPr fontId="2" type="noConversion"/>
  </si>
  <si>
    <t>离职人数/平均人数*100%</t>
    <phoneticPr fontId="2" type="noConversion"/>
  </si>
  <si>
    <t>招聘及时率</t>
    <phoneticPr fontId="2" type="noConversion"/>
  </si>
  <si>
    <t>特殊岗位招聘实际时间/计划招聘时间100%</t>
    <phoneticPr fontId="2" type="noConversion"/>
  </si>
  <si>
    <t>人事档案归档率</t>
    <phoneticPr fontId="2" type="noConversion"/>
  </si>
  <si>
    <t>已归档的人事档案/应归档的人事档案*100%</t>
    <phoneticPr fontId="2" type="noConversion"/>
  </si>
  <si>
    <t>劳动纠纷发生率</t>
    <phoneticPr fontId="2" type="noConversion"/>
  </si>
  <si>
    <t>实际处理次数/计划次数*100%</t>
    <phoneticPr fontId="2" type="noConversion"/>
  </si>
  <si>
    <t>行政后勤投诉次数</t>
    <phoneticPr fontId="2" type="noConversion"/>
  </si>
  <si>
    <t>员工保障及关系处理</t>
    <phoneticPr fontId="2" type="noConversion"/>
  </si>
  <si>
    <t>员工关系处理记录表</t>
    <phoneticPr fontId="2" type="noConversion"/>
  </si>
  <si>
    <t>生产直通率</t>
    <phoneticPr fontId="2" type="noConversion"/>
  </si>
  <si>
    <t>生产部门的生产水平和质量保证水平</t>
    <phoneticPr fontId="2" type="noConversion"/>
  </si>
  <si>
    <t xml:space="preserve">1－(月不良产次量÷月产量)×100% </t>
    <phoneticPr fontId="2" type="noConversion"/>
  </si>
  <si>
    <t>生产效率</t>
    <phoneticPr fontId="2" type="noConversion"/>
  </si>
  <si>
    <t>生产管理对人员、设备和制程的管理效率</t>
    <phoneticPr fontId="2" type="noConversion"/>
  </si>
  <si>
    <t>生产不良率</t>
    <phoneticPr fontId="2" type="noConversion"/>
  </si>
  <si>
    <t>生产管理人员对现场管理改善的力度</t>
    <phoneticPr fontId="2" type="noConversion"/>
  </si>
  <si>
    <t>月不良数/投入总数*100%</t>
    <phoneticPr fontId="2" type="noConversion"/>
  </si>
  <si>
    <t>工时达成率</t>
    <phoneticPr fontId="2" type="noConversion"/>
  </si>
  <si>
    <t>现场管理人员对工时综合利用的有效性</t>
    <phoneticPr fontId="2" type="noConversion"/>
  </si>
  <si>
    <t>实际达成总工时/计划完成工时*100%</t>
    <phoneticPr fontId="2" type="noConversion"/>
  </si>
  <si>
    <t>当期检验合格批次/当期检验批次*100%</t>
    <phoneticPr fontId="2" type="noConversion"/>
  </si>
  <si>
    <t>订单按时完成率（入库）</t>
    <phoneticPr fontId="2" type="noConversion"/>
  </si>
  <si>
    <t>当期按时入库批次/当期应交批次*100%</t>
    <phoneticPr fontId="2" type="noConversion"/>
  </si>
  <si>
    <t>对现场设备操作，安全教育的管理是否执行</t>
    <phoneticPr fontId="2" type="noConversion"/>
  </si>
  <si>
    <t>安全事故记录表</t>
    <phoneticPr fontId="2" type="noConversion"/>
  </si>
  <si>
    <t>5S管理点检合格率</t>
    <phoneticPr fontId="2" type="noConversion"/>
  </si>
  <si>
    <t>检点现场制定的是否标准化、习惯化</t>
    <phoneticPr fontId="2" type="noConversion"/>
  </si>
  <si>
    <t>5S点检表，5S异常稽核统计表</t>
    <phoneticPr fontId="2" type="noConversion"/>
  </si>
  <si>
    <t>辅料成本控制</t>
    <phoneticPr fontId="2" type="noConversion"/>
  </si>
  <si>
    <t>总体金额不可超标</t>
  </si>
  <si>
    <t>盘点报表</t>
    <phoneticPr fontId="2" type="noConversion"/>
  </si>
  <si>
    <t>交期达成率</t>
    <phoneticPr fontId="2" type="noConversion"/>
  </si>
  <si>
    <t>采购部对生产制造的支持度</t>
    <phoneticPr fontId="2" type="noConversion"/>
  </si>
  <si>
    <t>当月生产采购总数量-延迟到货数量/当月生产采购总数量</t>
    <phoneticPr fontId="2" type="noConversion"/>
  </si>
  <si>
    <t>来料品质批次合格率</t>
    <phoneticPr fontId="2" type="noConversion"/>
  </si>
  <si>
    <t>供应商交货质量</t>
    <phoneticPr fontId="2" type="noConversion"/>
  </si>
  <si>
    <t>（当月采购总批数-不合格批数）/当月采购总批数</t>
    <phoneticPr fontId="2" type="noConversion"/>
  </si>
  <si>
    <t>平均采购周期</t>
    <phoneticPr fontId="2" type="noConversion"/>
  </si>
  <si>
    <t>（各物料采购周期 （天数）总和/物料总类总数量</t>
    <phoneticPr fontId="2" type="noConversion"/>
  </si>
  <si>
    <t>采购成本下降率</t>
    <phoneticPr fontId="2" type="noConversion"/>
  </si>
  <si>
    <t>当月采购成本下降总和/当月采购总金额*100%</t>
    <phoneticPr fontId="2" type="noConversion"/>
  </si>
  <si>
    <t>物料退货率</t>
    <phoneticPr fontId="2" type="noConversion"/>
  </si>
  <si>
    <t>供应商品质管理指标</t>
    <phoneticPr fontId="2" type="noConversion"/>
  </si>
  <si>
    <t>当期退货总数/当期交纳*100%</t>
    <phoneticPr fontId="2" type="noConversion"/>
  </si>
  <si>
    <t>采购订单出错率</t>
    <phoneticPr fontId="2" type="noConversion"/>
  </si>
  <si>
    <t>部门管理</t>
    <phoneticPr fontId="2" type="noConversion"/>
  </si>
  <si>
    <t>订单错误次数/当期下单总数*100%</t>
    <phoneticPr fontId="2" type="noConversion"/>
  </si>
  <si>
    <t>材料价格差异</t>
    <phoneticPr fontId="2" type="noConversion"/>
  </si>
  <si>
    <t>控制和降低采购环节的成本费用</t>
    <phoneticPr fontId="2" type="noConversion"/>
  </si>
  <si>
    <t>实际采购费用节省/计划采购费用*100%</t>
    <phoneticPr fontId="2" type="noConversion"/>
  </si>
  <si>
    <t>材料周转率</t>
    <phoneticPr fontId="2" type="noConversion"/>
  </si>
  <si>
    <t>加速存货周转管理</t>
    <phoneticPr fontId="2" type="noConversion"/>
  </si>
  <si>
    <t xml:space="preserve">主营业务成本/材料平均余额*100%     </t>
    <phoneticPr fontId="2" type="noConversion"/>
  </si>
  <si>
    <t>采购错误次数</t>
    <phoneticPr fontId="2" type="noConversion"/>
  </si>
  <si>
    <t>内部职责管理</t>
    <phoneticPr fontId="2" type="noConversion"/>
  </si>
  <si>
    <t>ERP改单次数统计</t>
    <phoneticPr fontId="2" type="noConversion"/>
  </si>
  <si>
    <t>OQC检验合格率</t>
    <phoneticPr fontId="2" type="noConversion"/>
  </si>
  <si>
    <t>指标名称</t>
    <phoneticPr fontId="2" type="noConversion"/>
  </si>
  <si>
    <t>指标定义</t>
    <phoneticPr fontId="2" type="noConversion"/>
  </si>
  <si>
    <t>计算公式</t>
    <phoneticPr fontId="2" type="noConversion"/>
  </si>
  <si>
    <t>部门费用控制</t>
  </si>
  <si>
    <t>档案管理的合规性</t>
  </si>
  <si>
    <t>按照公司档案管理规定管理公司各类档案</t>
  </si>
  <si>
    <t>信息流转的及时率</t>
  </si>
  <si>
    <t>因为违规使用，对公司造成影响的，一次扣除2分</t>
  </si>
  <si>
    <t>实际完成培训项目数/培训计划项目数*100% -1</t>
  </si>
  <si>
    <t>考勤制度执行情况</t>
    <phoneticPr fontId="1" type="noConversion"/>
  </si>
  <si>
    <t>考勤违纪率</t>
    <phoneticPr fontId="1" type="noConversion"/>
  </si>
  <si>
    <t>创新项目成果</t>
  </si>
  <si>
    <t>规划建筑设计概念创新/获得国家级设计奖项</t>
  </si>
  <si>
    <t>设计优化加分</t>
  </si>
  <si>
    <t>质量安全事故状况及财产损失</t>
  </si>
  <si>
    <t>投诉曝光量</t>
  </si>
  <si>
    <t>报纸、电视等媒介的投诉曝光的次数</t>
  </si>
  <si>
    <t>重大法律纠纷的处理状况</t>
  </si>
  <si>
    <t>不计权重，每出现一次扣除5分</t>
  </si>
  <si>
    <t>工作中发生的贪污受贿等损害公司利益的事情</t>
  </si>
  <si>
    <t>部门指标</t>
    <phoneticPr fontId="2" type="noConversion"/>
  </si>
  <si>
    <t>公共指标</t>
    <phoneticPr fontId="1" type="noConversion"/>
  </si>
  <si>
    <t>学习指标</t>
    <phoneticPr fontId="1" type="noConversion"/>
  </si>
  <si>
    <t>加减指标</t>
    <phoneticPr fontId="1" type="noConversion"/>
  </si>
  <si>
    <t>廉洁自律情况</t>
    <phoneticPr fontId="1" type="noConversion"/>
  </si>
  <si>
    <t>客户档案保存率</t>
    <phoneticPr fontId="2" type="noConversion"/>
  </si>
  <si>
    <t>客户满意度指数</t>
    <phoneticPr fontId="2" type="noConversion"/>
  </si>
  <si>
    <t>订单修改/变更金额比率</t>
    <phoneticPr fontId="2" type="noConversion"/>
  </si>
  <si>
    <t>及时处理的信息量/总流转信息量</t>
    <phoneticPr fontId="1" type="noConversion"/>
  </si>
  <si>
    <t>提出税务的合理化建议,并被采纳,产生效益</t>
    <phoneticPr fontId="1" type="noConversion"/>
  </si>
  <si>
    <t>设计优化节约项目成本或对公司产生积极影响</t>
    <phoneticPr fontId="1" type="noConversion"/>
  </si>
  <si>
    <t>销售目标完成率</t>
    <phoneticPr fontId="2" type="noConversion"/>
  </si>
  <si>
    <t>按照公司印章管理规定管理公司各类印章</t>
    <phoneticPr fontId="1" type="noConversion"/>
  </si>
  <si>
    <t>印章管理的合规性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</si>
  <si>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</si>
  <si>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</si>
  <si>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</si>
  <si>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</si>
  <si>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</si>
  <si>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</si>
  <si>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</si>
  <si>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</si>
  <si>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D9</t>
    <phoneticPr fontId="1" type="noConversion"/>
  </si>
  <si>
    <t>G1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</si>
  <si>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</si>
  <si>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</si>
  <si>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</si>
  <si>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G5</t>
    <phoneticPr fontId="1" type="noConversion"/>
  </si>
  <si>
    <t>L1</t>
    <phoneticPr fontId="1" type="noConversion"/>
  </si>
  <si>
    <t>L2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</si>
  <si>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</si>
  <si>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</si>
  <si>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</si>
  <si>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</si>
  <si>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</si>
  <si>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A6</t>
    <phoneticPr fontId="1" type="noConversion"/>
  </si>
  <si>
    <t>A7</t>
    <phoneticPr fontId="1" type="noConversion"/>
  </si>
  <si>
    <t>成品库存周转率</t>
    <phoneticPr fontId="2" type="noConversion"/>
  </si>
  <si>
    <t>（订单错误/修改金额）/（本年度预估销售金额/12）*100%</t>
    <phoneticPr fontId="1" type="noConversion"/>
  </si>
  <si>
    <t>领导打分</t>
    <phoneticPr fontId="1" type="noConversion"/>
  </si>
  <si>
    <t>U1</t>
    <phoneticPr fontId="1" type="noConversion"/>
  </si>
  <si>
    <t>上级或部门领导打分</t>
    <phoneticPr fontId="1" type="noConversion"/>
  </si>
  <si>
    <t>领导满意度</t>
    <phoneticPr fontId="1" type="noConversion"/>
  </si>
  <si>
    <t>不计权重，满分10分，得分=（实际得分-80）/100*10分</t>
    <phoneticPr fontId="1" type="noConversion"/>
  </si>
  <si>
    <t>实际费用/预算费用</t>
  </si>
  <si>
    <t>发生的特大、重大事故的次数</t>
    <phoneticPr fontId="1" type="noConversion"/>
  </si>
  <si>
    <t>税务合理化建议</t>
    <phoneticPr fontId="1" type="noConversion"/>
  </si>
  <si>
    <t>报价处理效率</t>
    <phoneticPr fontId="2" type="noConversion"/>
  </si>
  <si>
    <t xml:space="preserve">在重大法律纠纷处理过程中对公司造成损失 </t>
    <phoneticPr fontId="1" type="noConversion"/>
  </si>
  <si>
    <t>不计权重，直接扣减绩效考核得分，当期考核分为零</t>
    <phoneticPr fontId="1" type="noConversion"/>
  </si>
  <si>
    <t>完成基本目标得80%，完成挑战目标得100%</t>
    <phoneticPr fontId="1" type="noConversion"/>
  </si>
  <si>
    <t>2次及以下满分，否则0分</t>
    <phoneticPr fontId="1" type="noConversion"/>
  </si>
  <si>
    <t>考核标准</t>
    <phoneticPr fontId="2" type="noConversion"/>
  </si>
  <si>
    <t>不计权重，产生严重影响的扣2分/起</t>
    <phoneticPr fontId="1" type="noConversion"/>
  </si>
  <si>
    <t>确保业务部门将客户订单需求正确传运到工厂制造</t>
    <phoneticPr fontId="2" type="noConversion"/>
  </si>
  <si>
    <t>用户对交货期、售后服务等方面的综合满意程度</t>
    <phoneticPr fontId="2" type="noConversion"/>
  </si>
  <si>
    <t>不计权重，特大事故当期考核分为零，一般事故扣5分</t>
    <phoneticPr fontId="1" type="noConversion"/>
  </si>
  <si>
    <t>不计权重，加分项,加1～5分</t>
    <phoneticPr fontId="1" type="noConversion"/>
  </si>
  <si>
    <t>不计权重，加分项,每个加5分</t>
    <phoneticPr fontId="1" type="noConversion"/>
  </si>
  <si>
    <t>不计权重，降低税务风险或产生部分节税效应的，一次加2分</t>
    <phoneticPr fontId="1" type="noConversion"/>
  </si>
  <si>
    <t>D部门指标（汇总权重70%）  G公共指标（汇总权重20%）  L学习指标（汇总权重10%）  A加减指标（不计权重 加减分）  U领导指标（不计权重 加减分）</t>
    <phoneticPr fontId="1" type="noConversion"/>
  </si>
  <si>
    <t>培训计划完成差异率</t>
    <phoneticPr fontId="1" type="noConversion"/>
  </si>
  <si>
    <t>主营业务收入</t>
  </si>
  <si>
    <t>营业费用/管理费用/财务费用</t>
    <phoneticPr fontId="2" type="noConversion"/>
  </si>
  <si>
    <t>净资产保值增值率</t>
    <phoneticPr fontId="2" type="noConversion"/>
  </si>
  <si>
    <t>回笼资金</t>
    <phoneticPr fontId="2" type="noConversion"/>
  </si>
  <si>
    <t>销售毛利率</t>
  </si>
  <si>
    <t>净利润</t>
  </si>
  <si>
    <t>净利润增长率</t>
  </si>
  <si>
    <t>实际发生的主营业务收入金额</t>
  </si>
  <si>
    <t xml:space="preserve">（期末所有者权益÷期初所有者权益）×100% </t>
  </si>
  <si>
    <t>当期实际回笼资金</t>
  </si>
  <si>
    <t xml:space="preserve">本年销售净利润 </t>
  </si>
  <si>
    <t>本年销售净利润/去年销售净利润×100%-1</t>
  </si>
  <si>
    <t>结算收入/平均总资产</t>
  </si>
  <si>
    <t>公司净资产保值增值情况</t>
    <phoneticPr fontId="2" type="noConversion"/>
  </si>
  <si>
    <t>公司成本费用控制情况</t>
    <phoneticPr fontId="2" type="noConversion"/>
  </si>
  <si>
    <t>公司营业销售收入情况</t>
    <phoneticPr fontId="1" type="noConversion"/>
  </si>
  <si>
    <t>公司年度或月度销售利润情况</t>
    <phoneticPr fontId="1" type="noConversion"/>
  </si>
  <si>
    <t>应收账款清理情况</t>
    <phoneticPr fontId="2" type="noConversion"/>
  </si>
  <si>
    <t>公司销售净利润</t>
    <phoneticPr fontId="1" type="noConversion"/>
  </si>
  <si>
    <t>公司销售净利润增长情况</t>
    <phoneticPr fontId="1" type="noConversion"/>
  </si>
  <si>
    <t>总资产周转率</t>
    <phoneticPr fontId="1" type="noConversion"/>
  </si>
  <si>
    <t>公司总资产周转情况</t>
    <phoneticPr fontId="1" type="noConversion"/>
  </si>
  <si>
    <t>完成基本目标得80分,完成挑战目标得100分</t>
    <phoneticPr fontId="2" type="noConversion"/>
  </si>
  <si>
    <t>营业务收入-主营业务成本-主营业务税金及附加</t>
    <phoneticPr fontId="1" type="noConversion"/>
  </si>
  <si>
    <t>销售部KPI指标及权重设计表</t>
    <phoneticPr fontId="2" type="noConversion"/>
  </si>
  <si>
    <t>财务部KPI指标及权重设计表</t>
    <phoneticPr fontId="2" type="noConversion"/>
  </si>
  <si>
    <t>人事部KPI指标及权重设计表</t>
    <phoneticPr fontId="2" type="noConversion"/>
  </si>
  <si>
    <t>安全质量事故发生次数</t>
    <phoneticPr fontId="2" type="noConversion"/>
  </si>
  <si>
    <t>实际达成产值/计划完成产值*100%</t>
    <phoneticPr fontId="2" type="noConversion"/>
  </si>
  <si>
    <t>生产部KPI指标及权重设计表</t>
    <phoneticPr fontId="2" type="noConversion"/>
  </si>
  <si>
    <t>采购部KPI指标及权重设计表</t>
    <phoneticPr fontId="2" type="noConversion"/>
  </si>
  <si>
    <t>部门指标</t>
    <phoneticPr fontId="1" type="noConversion"/>
  </si>
  <si>
    <t>反应对采购成本的控制程度（每季度5%）</t>
    <phoneticPr fontId="2" type="noConversion"/>
  </si>
  <si>
    <t>供应商产品备货及交付，减低采购风险</t>
    <phoneticPr fontId="1" type="noConversion"/>
  </si>
  <si>
    <t>生产部门从原料供应生产调度制程管理的综合效益</t>
    <phoneticPr fontId="2" type="noConversion"/>
  </si>
  <si>
    <t>检验现场品质是否达到产品零缺陷客户满意零投诉</t>
    <phoneticPr fontId="2" type="noConversion"/>
  </si>
  <si>
    <t>(销售收入-动态成本）/销售收入</t>
    <phoneticPr fontId="1" type="noConversion"/>
  </si>
  <si>
    <t>出库货物准确率</t>
    <phoneticPr fontId="1" type="noConversion"/>
  </si>
  <si>
    <t>姓名</t>
    <phoneticPr fontId="1" type="noConversion"/>
  </si>
  <si>
    <t>部门</t>
    <phoneticPr fontId="1" type="noConversion"/>
  </si>
  <si>
    <t>员工01</t>
    <phoneticPr fontId="1" type="noConversion"/>
  </si>
  <si>
    <t>员工02</t>
  </si>
  <si>
    <t>员工03</t>
  </si>
  <si>
    <t>员工04</t>
  </si>
  <si>
    <t>员工05</t>
  </si>
  <si>
    <t>员工06</t>
  </si>
  <si>
    <t>员工07</t>
  </si>
  <si>
    <t>员工08</t>
  </si>
  <si>
    <t>员工09</t>
  </si>
  <si>
    <t>员工10</t>
  </si>
  <si>
    <t>员工11</t>
  </si>
  <si>
    <t>员工12</t>
  </si>
  <si>
    <t>员工13</t>
  </si>
  <si>
    <t>员工14</t>
  </si>
  <si>
    <t>员工15</t>
  </si>
  <si>
    <t>员工16</t>
  </si>
  <si>
    <t>员工17</t>
  </si>
  <si>
    <t>员工18</t>
  </si>
  <si>
    <t>员工19</t>
  </si>
  <si>
    <t>员工20</t>
  </si>
  <si>
    <t>员工21</t>
  </si>
  <si>
    <t>员工22</t>
  </si>
  <si>
    <t>员工23</t>
  </si>
  <si>
    <t>员工24</t>
  </si>
  <si>
    <t>员工25</t>
  </si>
  <si>
    <t>员工26</t>
  </si>
  <si>
    <t>员工27</t>
  </si>
  <si>
    <t>员工28</t>
  </si>
  <si>
    <t>员工29</t>
  </si>
  <si>
    <t>员工30</t>
  </si>
  <si>
    <t>D4</t>
  </si>
  <si>
    <t>D5</t>
  </si>
  <si>
    <t>D6</t>
  </si>
  <si>
    <t>D7</t>
  </si>
  <si>
    <t>D8</t>
  </si>
  <si>
    <t>D9</t>
  </si>
  <si>
    <t>A4</t>
  </si>
  <si>
    <t>A5</t>
  </si>
  <si>
    <t>A6</t>
  </si>
  <si>
    <t>A7</t>
  </si>
  <si>
    <t>员工09</t>
    <phoneticPr fontId="1" type="noConversion"/>
  </si>
  <si>
    <t>员工10</t>
    <phoneticPr fontId="1" type="noConversion"/>
  </si>
  <si>
    <t>员工17</t>
    <phoneticPr fontId="1" type="noConversion"/>
  </si>
  <si>
    <t>员工18</t>
    <phoneticPr fontId="1" type="noConversion"/>
  </si>
  <si>
    <t>员工25</t>
    <phoneticPr fontId="1" type="noConversion"/>
  </si>
  <si>
    <t>员工31</t>
  </si>
  <si>
    <t>员工32</t>
  </si>
  <si>
    <t>员工33</t>
  </si>
  <si>
    <t>员工33</t>
    <phoneticPr fontId="1" type="noConversion"/>
  </si>
  <si>
    <t>员工34</t>
  </si>
  <si>
    <t>员工35</t>
  </si>
  <si>
    <t>员工36</t>
  </si>
  <si>
    <t>员工37</t>
  </si>
  <si>
    <t>员工38</t>
  </si>
  <si>
    <t>员工39</t>
  </si>
  <si>
    <t>员工40</t>
  </si>
  <si>
    <t>销售部员工20XX年工作实绩</t>
    <phoneticPr fontId="2" type="noConversion"/>
  </si>
  <si>
    <t>错误发放工资次数/发放的工资次数*100%</t>
    <phoneticPr fontId="2" type="noConversion"/>
  </si>
  <si>
    <t>做账及时性</t>
    <phoneticPr fontId="1" type="noConversion"/>
  </si>
  <si>
    <t>安全生产率</t>
    <phoneticPr fontId="2" type="noConversion"/>
  </si>
  <si>
    <t>总分</t>
    <phoneticPr fontId="1" type="noConversion"/>
  </si>
  <si>
    <t>财务部员工20XX年工作实绩</t>
    <phoneticPr fontId="2" type="noConversion"/>
  </si>
  <si>
    <t>人事部员工20XX年工作实绩</t>
    <phoneticPr fontId="2" type="noConversion"/>
  </si>
  <si>
    <t>生产部员工20XX年工作实绩</t>
    <phoneticPr fontId="2" type="noConversion"/>
  </si>
  <si>
    <t>采购部员工20XX年工作实绩</t>
    <phoneticPr fontId="2" type="noConversion"/>
  </si>
  <si>
    <t>销售部</t>
  </si>
  <si>
    <t>销售部</t>
    <phoneticPr fontId="1" type="noConversion"/>
  </si>
  <si>
    <t>财务部</t>
  </si>
  <si>
    <t>人事部</t>
  </si>
  <si>
    <t>生产部</t>
  </si>
  <si>
    <t>采购部</t>
  </si>
  <si>
    <t>公司各部门员工KPI指标汇总计算表（自动计算）</t>
    <phoneticPr fontId="2" type="noConversion"/>
  </si>
  <si>
    <t>部门KPI</t>
    <phoneticPr fontId="1" type="noConversion"/>
  </si>
  <si>
    <t>公共KPI</t>
    <phoneticPr fontId="1" type="noConversion"/>
  </si>
  <si>
    <t>学习KPI</t>
    <phoneticPr fontId="1" type="noConversion"/>
  </si>
  <si>
    <t>加减事项</t>
    <phoneticPr fontId="1" type="noConversion"/>
  </si>
  <si>
    <t>领导满意度</t>
    <phoneticPr fontId="1" type="noConversion"/>
  </si>
  <si>
    <t>核心KPI（D+G+L）</t>
    <phoneticPr fontId="1" type="noConversion"/>
  </si>
  <si>
    <t>销售部汇总</t>
    <phoneticPr fontId="1" type="noConversion"/>
  </si>
  <si>
    <t>财务部</t>
    <phoneticPr fontId="1" type="noConversion"/>
  </si>
  <si>
    <t>财务部汇总</t>
    <phoneticPr fontId="1" type="noConversion"/>
  </si>
  <si>
    <t>人事部汇总</t>
    <phoneticPr fontId="1" type="noConversion"/>
  </si>
  <si>
    <t>生产部汇总</t>
    <phoneticPr fontId="1" type="noConversion"/>
  </si>
  <si>
    <t>采购部汇总</t>
    <phoneticPr fontId="1" type="noConversion"/>
  </si>
  <si>
    <t>稻壳儿耗崽设计</t>
    <phoneticPr fontId="1" type="noConversion"/>
  </si>
  <si>
    <t>不计权重，直接扣减绩效考核得分，每起扣2分稻壳儿耗崽设计</t>
    <phoneticPr fontId="1" type="noConversion"/>
  </si>
  <si>
    <t>不计权重，产生严重影响的扣2分/起稻壳儿耗崽设计</t>
    <phoneticPr fontId="1" type="noConversion"/>
  </si>
  <si>
    <t>(销售收入-动态成本）/销售收入稻壳儿耗崽设计</t>
    <phoneticPr fontId="1" type="noConversion"/>
  </si>
  <si>
    <t>实际费用/预算费用稻壳儿耗崽设计</t>
    <phoneticPr fontId="1" type="noConversion"/>
  </si>
  <si>
    <t>及时处理的信息量/总流转信息量稻壳儿耗崽设计</t>
    <phoneticPr fontId="1" type="noConversion"/>
  </si>
  <si>
    <t>实际完成培训时间/计划培训时间*100%稻壳儿耗崽设计</t>
    <phoneticPr fontId="2" type="noConversion"/>
  </si>
  <si>
    <t>不计权重，加分项,加1～5分稻壳儿耗崽设计</t>
    <phoneticPr fontId="1" type="noConversion"/>
  </si>
  <si>
    <t>员工关系处理记录表稻壳儿耗崽设计</t>
    <phoneticPr fontId="2" type="noConversion"/>
  </si>
  <si>
    <t>不计权重，每出现一次扣除5分稻壳儿耗崽设计</t>
    <phoneticPr fontId="1" type="noConversion"/>
  </si>
  <si>
    <t>ERP改单次数统计稻壳儿耗崽设计</t>
    <phoneticPr fontId="2" type="noConversion"/>
  </si>
  <si>
    <t>不计权重，加分项,每个加5分稻壳儿耗崽设计</t>
    <phoneticPr fontId="1" type="noConversion"/>
  </si>
  <si>
    <t>盘点报表稻壳儿耗崽设计</t>
    <phoneticPr fontId="2" type="noConversion"/>
  </si>
  <si>
    <t>年终奖基数</t>
    <phoneticPr fontId="1" type="noConversion"/>
  </si>
  <si>
    <t>应发年终奖</t>
    <phoneticPr fontId="1" type="noConversion"/>
  </si>
  <si>
    <r>
      <t xml:space="preserve">D部门指标（汇总权重70%）  G公共指标（汇总权重20%）  L学习指标（汇总权重10%）  A加减指标（不计权重）  U领导指标（不计权重） </t>
    </r>
    <r>
      <rPr>
        <b/>
        <sz val="10"/>
        <color rgb="FFCB4B7C"/>
        <rFont val="楷体"/>
        <family val="3"/>
        <charset val="134"/>
      </rPr>
      <t>本表格仅填写年终奖基数，其他数据无需填写，根据KPI指标及权重设计表、员工业绩表提取后自动汇总计算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</si>
</sst>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0_ "/>
    <numFmt numFmtId="178" formatCode="0_ "/>
  </numFmts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6"/>
      <color indexed="8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8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sz val="11"/>
      <name val="楷体"/>
      <family val="3"/>
      <charset val="134"/>
    </font>
    <font>
      <b/>
      <sz val="12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Arial"/>
      <family val="2"/>
    </font>
    <font>
      <sz val="11"/>
      <color theme="0"/>
      <name val="微软雅黑"/>
      <family val="2"/>
      <charset val="134"/>
    </font>
    <font>
      <sz val="11"/>
      <color theme="0"/>
      <name val="Arial"/>
      <family val="2"/>
    </font>
    <font>
      <sz val="11"/>
      <color theme="0"/>
      <name val="等线"/>
      <family val="2"/>
      <scheme val="minor"/>
    </font>
    <font>
      <sz val="10"/>
      <name val="楷体"/>
      <family val="3"/>
      <charset val="134"/>
    </font>
    <font>
      <b/>
      <sz val="10"/>
      <color rgb="FFCB4B7C"/>
      <name val="楷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2" borderId="2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9" fontId="4" fillId="2" borderId="4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9" fontId="4" fillId="2" borderId="4" xfId="0" applyNumberFormat="1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7" fillId="0" borderId="8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left" vertical="center"/>
    </xf>
    <xf numFmtId="9" fontId="7" fillId="2" borderId="4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vertical="center" wrapText="1"/>
    </xf>
    <xf numFmtId="9" fontId="6" fillId="2" borderId="4" xfId="0" applyNumberFormat="1" applyFont="1" applyFill="1" applyBorder="1" applyAlignment="1">
      <alignment horizontal="center" vertical="center" wrapText="1"/>
    </xf>
    <xf numFmtId="9" fontId="6" fillId="2" borderId="4" xfId="0" applyNumberFormat="1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 wrapText="1"/>
    </xf>
    <xf numFmtId="177" fontId="4" fillId="2" borderId="0" xfId="0" applyNumberFormat="1" applyFont="1" applyFill="1"/>
    <xf numFmtId="178" fontId="4" fillId="2" borderId="4" xfId="0" applyNumberFormat="1" applyFont="1" applyFill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7" fontId="4" fillId="3" borderId="11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9" fontId="4" fillId="2" borderId="12" xfId="0" applyNumberFormat="1" applyFont="1" applyFill="1" applyBorder="1" applyAlignment="1">
      <alignment horizontal="center" vertical="center" wrapText="1"/>
    </xf>
    <xf numFmtId="0" fontId="4" fillId="2" borderId="13" xfId="0" applyNumberFormat="1" applyFont="1" applyFill="1" applyBorder="1" applyAlignment="1">
      <alignment horizontal="center" vertical="center" wrapText="1"/>
    </xf>
    <xf numFmtId="177" fontId="7" fillId="2" borderId="0" xfId="0" applyNumberFormat="1" applyFont="1" applyFill="1" applyAlignment="1">
      <alignment vertical="center" wrapText="1"/>
    </xf>
    <xf numFmtId="0" fontId="0" fillId="2" borderId="0" xfId="0" applyFill="1"/>
    <xf numFmtId="0" fontId="0" fillId="2" borderId="0" xfId="0" applyFont="1" applyFill="1"/>
    <xf numFmtId="0" fontId="10" fillId="2" borderId="4" xfId="0" applyFont="1" applyFill="1" applyBorder="1" applyAlignment="1">
      <alignment horizontal="center" vertical="center"/>
    </xf>
    <xf numFmtId="177" fontId="11" fillId="2" borderId="4" xfId="0" applyNumberFormat="1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9" fontId="4" fillId="2" borderId="8" xfId="0" applyNumberFormat="1" applyFont="1" applyFill="1" applyBorder="1" applyAlignment="1">
      <alignment horizontal="center" vertical="center" wrapText="1"/>
    </xf>
    <xf numFmtId="0" fontId="4" fillId="2" borderId="8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78" fontId="4" fillId="2" borderId="8" xfId="0" applyNumberFormat="1" applyFont="1" applyFill="1" applyBorder="1" applyAlignment="1">
      <alignment horizontal="center" vertical="center" wrapText="1"/>
    </xf>
    <xf numFmtId="177" fontId="4" fillId="2" borderId="8" xfId="0" applyNumberFormat="1" applyFont="1" applyFill="1" applyBorder="1" applyAlignment="1">
      <alignment horizontal="center" vertical="center" wrapText="1"/>
    </xf>
    <xf numFmtId="176" fontId="4" fillId="2" borderId="8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4" fillId="2" borderId="15" xfId="0" applyFont="1" applyFill="1" applyBorder="1" applyAlignment="1">
      <alignment horizontal="center" vertical="center"/>
    </xf>
    <xf numFmtId="177" fontId="11" fillId="2" borderId="15" xfId="0" applyNumberFormat="1" applyFont="1" applyFill="1" applyBorder="1" applyAlignment="1">
      <alignment vertical="center"/>
    </xf>
    <xf numFmtId="177" fontId="11" fillId="2" borderId="0" xfId="0" applyNumberFormat="1" applyFont="1" applyFill="1" applyBorder="1" applyAlignment="1">
      <alignment vertical="center"/>
    </xf>
    <xf numFmtId="0" fontId="0" fillId="2" borderId="0" xfId="0" applyFill="1" applyBorder="1"/>
    <xf numFmtId="0" fontId="12" fillId="2" borderId="17" xfId="0" applyFont="1" applyFill="1" applyBorder="1" applyAlignment="1">
      <alignment horizontal="center" vertical="center"/>
    </xf>
    <xf numFmtId="177" fontId="13" fillId="2" borderId="17" xfId="0" applyNumberFormat="1" applyFont="1" applyFill="1" applyBorder="1" applyAlignment="1">
      <alignment vertical="center"/>
    </xf>
    <xf numFmtId="0" fontId="14" fillId="2" borderId="0" xfId="0" applyFont="1" applyFill="1" applyBorder="1"/>
    <xf numFmtId="0" fontId="4" fillId="2" borderId="18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177" fontId="13" fillId="2" borderId="0" xfId="0" applyNumberFormat="1" applyFont="1" applyFill="1" applyBorder="1" applyAlignment="1">
      <alignment vertical="center"/>
    </xf>
    <xf numFmtId="0" fontId="11" fillId="2" borderId="4" xfId="0" applyFont="1" applyFill="1" applyBorder="1"/>
    <xf numFmtId="178" fontId="11" fillId="2" borderId="4" xfId="0" applyNumberFormat="1" applyFont="1" applyFill="1" applyBorder="1"/>
    <xf numFmtId="177" fontId="11" fillId="2" borderId="4" xfId="0" applyNumberFormat="1" applyFont="1" applyFill="1" applyBorder="1"/>
    <xf numFmtId="177" fontId="13" fillId="2" borderId="0" xfId="0" applyNumberFormat="1" applyFont="1" applyFill="1" applyBorder="1"/>
    <xf numFmtId="177" fontId="11" fillId="2" borderId="15" xfId="0" applyNumberFormat="1" applyFont="1" applyFill="1" applyBorder="1"/>
    <xf numFmtId="177" fontId="13" fillId="2" borderId="17" xfId="0" applyNumberFormat="1" applyFont="1" applyFill="1" applyBorder="1"/>
    <xf numFmtId="177" fontId="11" fillId="2" borderId="16" xfId="0" applyNumberFormat="1" applyFont="1" applyFill="1" applyBorder="1"/>
    <xf numFmtId="0" fontId="9" fillId="2" borderId="7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B4B7C"/>
      <color rgb="FFFE9C80"/>
      <color rgb="FFFE7088"/>
      <color rgb="FF6E376E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幼圆" panose="02010509060101010101" pitchFamily="49" charset="-122"/>
                <a:ea typeface="幼圆" panose="02010509060101010101" pitchFamily="49" charset="-122"/>
                <a:cs typeface="+mn-cs"/>
              </a:defRPr>
            </a:pPr>
            <a:r>
              <a:rPr lang="zh-CN" altLang="en-US">
                <a:solidFill>
                  <a:schemeClr val="tx1"/>
                </a:solidFill>
                <a:latin typeface="幼圆" panose="02010509060101010101" pitchFamily="49" charset="-122"/>
                <a:ea typeface="幼圆" panose="02010509060101010101" pitchFamily="49" charset="-122"/>
              </a:rPr>
              <a:t>员工应发年终奖统计图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幼圆" panose="02010509060101010101" pitchFamily="49" charset="-122"/>
              <a:ea typeface="幼圆" panose="020105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rgbClr val="6E376E"/>
                </a:gs>
                <a:gs pos="35000">
                  <a:srgbClr val="CB4B7C"/>
                </a:gs>
                <a:gs pos="69000">
                  <a:srgbClr val="FE7088"/>
                </a:gs>
                <a:gs pos="100000">
                  <a:srgbClr val="FE9C80"/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cat>
            <c:strRef>
              <c:f>考核汇总表!$B$4:$B$48</c:f>
              <c:strCache>
                <c:ptCount val="45"/>
                <c:pt idx="0">
                  <c:v>员工01</c:v>
                </c:pt>
                <c:pt idx="1">
                  <c:v>员工02</c:v>
                </c:pt>
                <c:pt idx="2">
                  <c:v>员工03</c:v>
                </c:pt>
                <c:pt idx="3">
                  <c:v>员工04</c:v>
                </c:pt>
                <c:pt idx="4">
                  <c:v>员工05</c:v>
                </c:pt>
                <c:pt idx="5">
                  <c:v>员工06</c:v>
                </c:pt>
                <c:pt idx="6">
                  <c:v>员工07</c:v>
                </c:pt>
                <c:pt idx="7">
                  <c:v>员工08</c:v>
                </c:pt>
                <c:pt idx="8">
                  <c:v>销售部汇总</c:v>
                </c:pt>
                <c:pt idx="9">
                  <c:v>员工09</c:v>
                </c:pt>
                <c:pt idx="10">
                  <c:v>员工10</c:v>
                </c:pt>
                <c:pt idx="11">
                  <c:v>员工11</c:v>
                </c:pt>
                <c:pt idx="12">
                  <c:v>员工12</c:v>
                </c:pt>
                <c:pt idx="13">
                  <c:v>员工13</c:v>
                </c:pt>
                <c:pt idx="14">
                  <c:v>员工14</c:v>
                </c:pt>
                <c:pt idx="15">
                  <c:v>员工15</c:v>
                </c:pt>
                <c:pt idx="16">
                  <c:v>员工16</c:v>
                </c:pt>
                <c:pt idx="17">
                  <c:v>财务部汇总</c:v>
                </c:pt>
                <c:pt idx="18">
                  <c:v>员工17</c:v>
                </c:pt>
                <c:pt idx="19">
                  <c:v>员工18</c:v>
                </c:pt>
                <c:pt idx="20">
                  <c:v>员工19</c:v>
                </c:pt>
                <c:pt idx="21">
                  <c:v>员工20</c:v>
                </c:pt>
                <c:pt idx="22">
                  <c:v>员工21</c:v>
                </c:pt>
                <c:pt idx="23">
                  <c:v>员工22</c:v>
                </c:pt>
                <c:pt idx="24">
                  <c:v>员工23</c:v>
                </c:pt>
                <c:pt idx="25">
                  <c:v>员工24</c:v>
                </c:pt>
                <c:pt idx="26">
                  <c:v>人事部汇总</c:v>
                </c:pt>
                <c:pt idx="27">
                  <c:v>员工25</c:v>
                </c:pt>
                <c:pt idx="28">
                  <c:v>员工26</c:v>
                </c:pt>
                <c:pt idx="29">
                  <c:v>员工27</c:v>
                </c:pt>
                <c:pt idx="30">
                  <c:v>员工28</c:v>
                </c:pt>
                <c:pt idx="31">
                  <c:v>员工29</c:v>
                </c:pt>
                <c:pt idx="32">
                  <c:v>员工30</c:v>
                </c:pt>
                <c:pt idx="33">
                  <c:v>员工31</c:v>
                </c:pt>
                <c:pt idx="34">
                  <c:v>员工32</c:v>
                </c:pt>
                <c:pt idx="35">
                  <c:v>生产部汇总</c:v>
                </c:pt>
                <c:pt idx="36">
                  <c:v>员工33</c:v>
                </c:pt>
                <c:pt idx="37">
                  <c:v>员工34</c:v>
                </c:pt>
                <c:pt idx="38">
                  <c:v>员工35</c:v>
                </c:pt>
                <c:pt idx="39">
                  <c:v>员工36</c:v>
                </c:pt>
                <c:pt idx="40">
                  <c:v>员工37</c:v>
                </c:pt>
                <c:pt idx="41">
                  <c:v>员工38</c:v>
                </c:pt>
                <c:pt idx="42">
                  <c:v>员工39</c:v>
                </c:pt>
                <c:pt idx="43">
                  <c:v>员工40</c:v>
                </c:pt>
                <c:pt idx="44">
                  <c:v>采购部汇总</c:v>
                </c:pt>
              </c:strCache>
            </c:strRef>
          </c:cat>
          <c:val>
            <c:numRef>
              <c:f>考核汇总表!$AI$4:$AI$48</c:f>
              <c:numCache>
                <c:formatCode>0_ </c:formatCode>
                <c:ptCount val="45"/>
                <c:pt idx="0">
                  <c:v>27375.66349206349</c:v>
                </c:pt>
                <c:pt idx="1">
                  <c:v>29710.630158730157</c:v>
                </c:pt>
                <c:pt idx="2">
                  <c:v>16941.580952380955</c:v>
                </c:pt>
                <c:pt idx="3">
                  <c:v>33343.674603174601</c:v>
                </c:pt>
                <c:pt idx="4">
                  <c:v>26882.423015873017</c:v>
                </c:pt>
                <c:pt idx="5">
                  <c:v>28652.144444444446</c:v>
                </c:pt>
                <c:pt idx="6">
                  <c:v>27251.701428571429</c:v>
                </c:pt>
                <c:pt idx="7">
                  <c:v>26023.779396825401</c:v>
                </c:pt>
                <c:pt idx="8">
                  <c:v>216181.59749206351</c:v>
                </c:pt>
                <c:pt idx="9">
                  <c:v>24706.231340559581</c:v>
                </c:pt>
                <c:pt idx="10">
                  <c:v>25054.529029893969</c:v>
                </c:pt>
                <c:pt idx="11">
                  <c:v>23374.430887301034</c:v>
                </c:pt>
                <c:pt idx="12">
                  <c:v>28318.819768642352</c:v>
                </c:pt>
                <c:pt idx="13">
                  <c:v>25241.586269855339</c:v>
                </c:pt>
                <c:pt idx="14">
                  <c:v>24063.323320112555</c:v>
                </c:pt>
                <c:pt idx="15">
                  <c:v>23309.511960608248</c:v>
                </c:pt>
                <c:pt idx="16">
                  <c:v>22787.078390080263</c:v>
                </c:pt>
                <c:pt idx="17">
                  <c:v>196855.51096705336</c:v>
                </c:pt>
                <c:pt idx="18">
                  <c:v>27433.089715359831</c:v>
                </c:pt>
                <c:pt idx="19">
                  <c:v>27866.562728249191</c:v>
                </c:pt>
                <c:pt idx="20">
                  <c:v>28612.365016111704</c:v>
                </c:pt>
                <c:pt idx="21">
                  <c:v>27900.144232008592</c:v>
                </c:pt>
                <c:pt idx="22">
                  <c:v>27092.801664876471</c:v>
                </c:pt>
                <c:pt idx="23">
                  <c:v>26882.017218045108</c:v>
                </c:pt>
                <c:pt idx="24">
                  <c:v>19731.087035445758</c:v>
                </c:pt>
                <c:pt idx="25">
                  <c:v>28165.131589688499</c:v>
                </c:pt>
                <c:pt idx="26">
                  <c:v>213683.19919978516</c:v>
                </c:pt>
                <c:pt idx="27">
                  <c:v>34090.213032581465</c:v>
                </c:pt>
                <c:pt idx="28">
                  <c:v>32215.722639933167</c:v>
                </c:pt>
                <c:pt idx="29">
                  <c:v>34080.329991645776</c:v>
                </c:pt>
                <c:pt idx="30">
                  <c:v>35911.161236424399</c:v>
                </c:pt>
                <c:pt idx="31">
                  <c:v>35564.703425229753</c:v>
                </c:pt>
                <c:pt idx="32">
                  <c:v>28504.239766081875</c:v>
                </c:pt>
                <c:pt idx="33">
                  <c:v>27529.164578111944</c:v>
                </c:pt>
                <c:pt idx="34">
                  <c:v>34072.335004177105</c:v>
                </c:pt>
                <c:pt idx="35">
                  <c:v>261967.86967418552</c:v>
                </c:pt>
                <c:pt idx="36">
                  <c:v>31319.149633135647</c:v>
                </c:pt>
                <c:pt idx="37">
                  <c:v>18889.171168146637</c:v>
                </c:pt>
                <c:pt idx="38">
                  <c:v>23580.799177116714</c:v>
                </c:pt>
                <c:pt idx="39">
                  <c:v>24043.931921952422</c:v>
                </c:pt>
                <c:pt idx="40">
                  <c:v>25915.629615778638</c:v>
                </c:pt>
                <c:pt idx="41">
                  <c:v>21318.721343315756</c:v>
                </c:pt>
                <c:pt idx="42">
                  <c:v>19186.184545178618</c:v>
                </c:pt>
                <c:pt idx="43">
                  <c:v>27076.214512885505</c:v>
                </c:pt>
                <c:pt idx="44">
                  <c:v>191329.80191750993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F-4D45-B86C-39F545942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7848248"/>
        <c:axId val="707843000"/>
      </c:barChart>
      <c:catAx>
        <c:axId val="707848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7843000"/>
        <c:crosses val="autoZero"/>
        <c:auto val="1"/>
        <c:lblAlgn val="ctr"/>
        <c:lblOffset val="100"/>
        <c:noMultiLvlLbl val="0"/>
      </c:catAx>
      <c:valAx>
        <c:axId val="707843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7848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幼圆" panose="02010509060101010101" pitchFamily="49" charset="-122"/>
                <a:ea typeface="幼圆" panose="02010509060101010101" pitchFamily="49" charset="-122"/>
                <a:cs typeface="+mn-cs"/>
              </a:defRPr>
            </a:pPr>
            <a:r>
              <a:rPr lang="en-US" altLang="zh-CN">
                <a:solidFill>
                  <a:schemeClr val="tx1"/>
                </a:solidFill>
                <a:latin typeface="Calibri" panose="020F0502020204030204" pitchFamily="34" charset="0"/>
                <a:ea typeface="幼圆" panose="02010509060101010101" pitchFamily="49" charset="-122"/>
                <a:cs typeface="Calibri" panose="020F0502020204030204" pitchFamily="34" charset="0"/>
              </a:rPr>
              <a:t>KPI</a:t>
            </a:r>
            <a:r>
              <a:rPr lang="zh-CN" altLang="en-US">
                <a:solidFill>
                  <a:schemeClr val="tx1"/>
                </a:solidFill>
                <a:latin typeface="幼圆" panose="02010509060101010101" pitchFamily="49" charset="-122"/>
                <a:ea typeface="幼圆" panose="02010509060101010101" pitchFamily="49" charset="-122"/>
              </a:rPr>
              <a:t>指标雷达图</a:t>
            </a:r>
          </a:p>
        </c:rich>
      </c:tx>
      <c:layout>
        <c:manualLayout>
          <c:xMode val="edge"/>
          <c:yMode val="edge"/>
          <c:x val="0.53242187387891859"/>
          <c:y val="3.67049065404562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幼圆" panose="02010509060101010101" pitchFamily="49" charset="-122"/>
              <a:ea typeface="幼圆" panose="020105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9937303945281817E-2"/>
          <c:y val="0.13981193798261798"/>
          <c:w val="0.48401136704687531"/>
          <c:h val="0.82536639769495634"/>
        </c:manualLayout>
      </c:layout>
      <c:radarChart>
        <c:radarStyle val="marker"/>
        <c:varyColors val="0"/>
        <c:ser>
          <c:idx val="0"/>
          <c:order val="0"/>
          <c:tx>
            <c:strRef>
              <c:f>考核汇总表!$A$12</c:f>
              <c:strCache>
                <c:ptCount val="1"/>
                <c:pt idx="0">
                  <c:v>销售部汇总</c:v>
                </c:pt>
              </c:strCache>
            </c:strRef>
          </c:tx>
          <c:spPr>
            <a:ln w="12700" cap="rnd">
              <a:gradFill>
                <a:gsLst>
                  <a:gs pos="0">
                    <a:srgbClr val="6E376E"/>
                  </a:gs>
                  <a:gs pos="38000">
                    <a:srgbClr val="CB4B7C"/>
                  </a:gs>
                  <a:gs pos="66000">
                    <a:srgbClr val="FE7088"/>
                  </a:gs>
                  <a:gs pos="100000">
                    <a:srgbClr val="FE9C8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10</c:v>
              </c:pt>
              <c:pt idx="1">
                <c:v>16</c:v>
              </c:pt>
              <c:pt idx="2">
                <c:v>19</c:v>
              </c:pt>
              <c:pt idx="3">
                <c:v>29</c:v>
              </c:pt>
              <c:pt idx="4">
                <c:v>31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考核汇总表!$B$12:$AG$12</c15:sqref>
                  </c15:fullRef>
                </c:ext>
              </c:extLst>
              <c:f>(考核汇总表!$K$12,考核汇总表!$Q$12,考核汇总表!$T$12,考核汇总表!$AD$12,考核汇总表!$AF$12)</c:f>
              <c:numCache>
                <c:formatCode>0.00_ </c:formatCode>
                <c:ptCount val="5"/>
                <c:pt idx="0">
                  <c:v>16.333333333333332</c:v>
                </c:pt>
                <c:pt idx="1">
                  <c:v>28.163265306122451</c:v>
                </c:pt>
                <c:pt idx="2">
                  <c:v>37.222222222222229</c:v>
                </c:pt>
                <c:pt idx="3">
                  <c:v>7.4444444444444455</c:v>
                </c:pt>
                <c:pt idx="4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3-4AD4-9D06-4B9EC08EC160}"/>
            </c:ext>
          </c:extLst>
        </c:ser>
        <c:ser>
          <c:idx val="1"/>
          <c:order val="1"/>
          <c:tx>
            <c:strRef>
              <c:f>考核汇总表!$A$21</c:f>
              <c:strCache>
                <c:ptCount val="1"/>
                <c:pt idx="0">
                  <c:v>财务部汇总</c:v>
                </c:pt>
              </c:strCache>
            </c:strRef>
          </c:tx>
          <c:spPr>
            <a:ln w="12700" cap="rnd">
              <a:solidFill>
                <a:srgbClr val="FE9C80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10</c:v>
              </c:pt>
              <c:pt idx="1">
                <c:v>16</c:v>
              </c:pt>
              <c:pt idx="2">
                <c:v>19</c:v>
              </c:pt>
              <c:pt idx="3">
                <c:v>29</c:v>
              </c:pt>
              <c:pt idx="4">
                <c:v>31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考核汇总表!$B$21:$AG$21</c15:sqref>
                  </c15:fullRef>
                </c:ext>
              </c:extLst>
              <c:f>(考核汇总表!$K$21,考核汇总表!$Q$21,考核汇总表!$T$21,考核汇总表!$AD$21,考核汇总表!$AF$21)</c:f>
              <c:numCache>
                <c:formatCode>0.00_ </c:formatCode>
                <c:ptCount val="5"/>
                <c:pt idx="0">
                  <c:v>26.587499999999991</c:v>
                </c:pt>
                <c:pt idx="1">
                  <c:v>28.081632653061224</c:v>
                </c:pt>
                <c:pt idx="2">
                  <c:v>36.3888888888889</c:v>
                </c:pt>
                <c:pt idx="3">
                  <c:v>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73-4AD4-9D06-4B9EC08EC160}"/>
            </c:ext>
          </c:extLst>
        </c:ser>
        <c:ser>
          <c:idx val="2"/>
          <c:order val="2"/>
          <c:tx>
            <c:strRef>
              <c:f>考核汇总表!$A$30</c:f>
              <c:strCache>
                <c:ptCount val="1"/>
                <c:pt idx="0">
                  <c:v>人事部汇总</c:v>
                </c:pt>
              </c:strCache>
            </c:strRef>
          </c:tx>
          <c:spPr>
            <a:ln w="12700" cap="rnd">
              <a:solidFill>
                <a:srgbClr val="FE7088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10</c:v>
              </c:pt>
              <c:pt idx="1">
                <c:v>16</c:v>
              </c:pt>
              <c:pt idx="2">
                <c:v>19</c:v>
              </c:pt>
              <c:pt idx="3">
                <c:v>29</c:v>
              </c:pt>
              <c:pt idx="4">
                <c:v>31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考核汇总表!$B$30:$AG$30</c15:sqref>
                  </c15:fullRef>
                </c:ext>
              </c:extLst>
              <c:f>(考核汇总表!$K$30,考核汇总表!$Q$30,考核汇总表!$T$30,考核汇总表!$AD$30,考核汇总表!$AF$30)</c:f>
              <c:numCache>
                <c:formatCode>0.00_ </c:formatCode>
                <c:ptCount val="5"/>
                <c:pt idx="0">
                  <c:v>16.543333333333329</c:v>
                </c:pt>
                <c:pt idx="1">
                  <c:v>28.816326530612248</c:v>
                </c:pt>
                <c:pt idx="2">
                  <c:v>36.3888888888889</c:v>
                </c:pt>
                <c:pt idx="3">
                  <c:v>3</c:v>
                </c:pt>
                <c:pt idx="4">
                  <c:v>64.600000000000009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73-4AD4-9D06-4B9EC08EC160}"/>
            </c:ext>
          </c:extLst>
        </c:ser>
        <c:ser>
          <c:idx val="3"/>
          <c:order val="3"/>
          <c:tx>
            <c:strRef>
              <c:f>考核汇总表!$A$39</c:f>
              <c:strCache>
                <c:ptCount val="1"/>
                <c:pt idx="0">
                  <c:v>生产部汇总</c:v>
                </c:pt>
              </c:strCache>
            </c:strRef>
          </c:tx>
          <c:spPr>
            <a:ln w="12700" cap="rnd">
              <a:solidFill>
                <a:srgbClr val="CB4B7C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10</c:v>
              </c:pt>
              <c:pt idx="1">
                <c:v>16</c:v>
              </c:pt>
              <c:pt idx="2">
                <c:v>19</c:v>
              </c:pt>
              <c:pt idx="3">
                <c:v>29</c:v>
              </c:pt>
              <c:pt idx="4">
                <c:v>31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考核汇总表!$B$39:$AG$39</c15:sqref>
                  </c15:fullRef>
                </c:ext>
              </c:extLst>
              <c:f>(考核汇总表!$K$39,考核汇总表!$Q$39,考核汇总表!$T$39,考核汇总表!$AD$39,考核汇总表!$AF$39)</c:f>
              <c:numCache>
                <c:formatCode>0.00_ </c:formatCode>
                <c:ptCount val="5"/>
                <c:pt idx="0">
                  <c:v>26.010526315789477</c:v>
                </c:pt>
                <c:pt idx="1">
                  <c:v>28.816326530612248</c:v>
                </c:pt>
                <c:pt idx="2">
                  <c:v>36.3888888888889</c:v>
                </c:pt>
                <c:pt idx="3">
                  <c:v>8</c:v>
                </c:pt>
                <c:pt idx="4">
                  <c:v>65.7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73-4AD4-9D06-4B9EC08EC160}"/>
            </c:ext>
          </c:extLst>
        </c:ser>
        <c:ser>
          <c:idx val="4"/>
          <c:order val="4"/>
          <c:tx>
            <c:strRef>
              <c:f>考核汇总表!$A$48</c:f>
              <c:strCache>
                <c:ptCount val="1"/>
                <c:pt idx="0">
                  <c:v>采购部汇总</c:v>
                </c:pt>
              </c:strCache>
            </c:strRef>
          </c:tx>
          <c:spPr>
            <a:ln w="12700" cap="rnd">
              <a:solidFill>
                <a:srgbClr val="6E376E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10</c:v>
              </c:pt>
              <c:pt idx="1">
                <c:v>16</c:v>
              </c:pt>
              <c:pt idx="2">
                <c:v>19</c:v>
              </c:pt>
              <c:pt idx="3">
                <c:v>29</c:v>
              </c:pt>
              <c:pt idx="4">
                <c:v>31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考核汇总表!$B$48:$AG$48</c15:sqref>
                  </c15:fullRef>
                </c:ext>
              </c:extLst>
              <c:f>(考核汇总表!$K$48,考核汇总表!$Q$48,考核汇总表!$T$48,考核汇总表!$AD$48,考核汇总表!$AF$48)</c:f>
              <c:numCache>
                <c:formatCode>0.00_ </c:formatCode>
                <c:ptCount val="5"/>
                <c:pt idx="0">
                  <c:v>49.919191919191924</c:v>
                </c:pt>
                <c:pt idx="1">
                  <c:v>28.816326530612248</c:v>
                </c:pt>
                <c:pt idx="2">
                  <c:v>36.3888888888889</c:v>
                </c:pt>
                <c:pt idx="3">
                  <c:v>8</c:v>
                </c:pt>
                <c:pt idx="4">
                  <c:v>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73-4AD4-9D06-4B9EC08EC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334256"/>
        <c:axId val="708334584"/>
      </c:radarChart>
      <c:catAx>
        <c:axId val="70833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8334584"/>
        <c:crosses val="autoZero"/>
        <c:auto val="1"/>
        <c:lblAlgn val="ctr"/>
        <c:lblOffset val="100"/>
        <c:noMultiLvlLbl val="0"/>
      </c:catAx>
      <c:valAx>
        <c:axId val="7083345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95000"/>
                  <a:alpha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0833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346541672100999"/>
          <c:y val="0.35860771114314594"/>
          <c:w val="0.30625273643517392"/>
          <c:h val="0.387621379241490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幼圆" panose="02010509060101010101" pitchFamily="49" charset="-122"/>
                <a:ea typeface="幼圆" panose="02010509060101010101" pitchFamily="49" charset="-122"/>
                <a:cs typeface="+mn-cs"/>
              </a:defRPr>
            </a:pPr>
            <a:r>
              <a:rPr lang="zh-CN" altLang="en-US">
                <a:solidFill>
                  <a:schemeClr val="bg1"/>
                </a:solidFill>
                <a:latin typeface="幼圆" panose="02010509060101010101" pitchFamily="49" charset="-122"/>
                <a:ea typeface="幼圆" panose="02010509060101010101" pitchFamily="49" charset="-122"/>
              </a:rPr>
              <a:t>部门核心</a:t>
            </a:r>
            <a:r>
              <a:rPr lang="en-US" altLang="zh-CN">
                <a:solidFill>
                  <a:schemeClr val="bg1"/>
                </a:solidFill>
                <a:latin typeface="Calibri" panose="020F0502020204030204" pitchFamily="34" charset="0"/>
                <a:ea typeface="幼圆" panose="02010509060101010101" pitchFamily="49" charset="-122"/>
                <a:cs typeface="Calibri" panose="020F0502020204030204" pitchFamily="34" charset="0"/>
              </a:rPr>
              <a:t>KPI</a:t>
            </a:r>
            <a:r>
              <a:rPr lang="zh-CN" altLang="en-US">
                <a:solidFill>
                  <a:schemeClr val="bg1"/>
                </a:solidFill>
                <a:latin typeface="幼圆" panose="02010509060101010101" pitchFamily="49" charset="-122"/>
                <a:ea typeface="幼圆" panose="02010509060101010101" pitchFamily="49" charset="-122"/>
              </a:rPr>
              <a:t>指标</a:t>
            </a:r>
          </a:p>
        </c:rich>
      </c:tx>
      <c:layout>
        <c:manualLayout>
          <c:xMode val="edge"/>
          <c:yMode val="edge"/>
          <c:x val="2.7956291302889385E-2"/>
          <c:y val="5.2473448228607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幼圆" panose="02010509060101010101" pitchFamily="49" charset="-122"/>
              <a:ea typeface="幼圆" panose="020105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4756977939647599E-2"/>
          <c:y val="0.34291141652076806"/>
          <c:w val="0.91048604412070477"/>
          <c:h val="0.27534428117095233"/>
        </c:manualLayout>
      </c:layout>
      <c:barChart>
        <c:barDir val="col"/>
        <c:grouping val="clustered"/>
        <c:varyColors val="0"/>
        <c:ser>
          <c:idx val="8"/>
          <c:order val="8"/>
          <c:tx>
            <c:strRef>
              <c:f>考核汇总表!$A$12</c:f>
              <c:strCache>
                <c:ptCount val="1"/>
                <c:pt idx="0">
                  <c:v>销售部汇总</c:v>
                </c:pt>
              </c:strCache>
            </c:strRef>
          </c:tx>
          <c:spPr>
            <a:solidFill>
              <a:srgbClr val="6E376E"/>
            </a:solidFill>
            <a:ln>
              <a:noFill/>
            </a:ln>
            <a:effectLst/>
          </c:spPr>
          <c:invertIfNegative val="0"/>
          <c:cat>
            <c:strRef>
              <c:f>考核汇总表!$V$3</c:f>
              <c:strCache>
                <c:ptCount val="1"/>
                <c:pt idx="0">
                  <c:v>核心KPI（D+G+L）</c:v>
                </c:pt>
              </c:strCache>
            </c:strRef>
          </c:cat>
          <c:val>
            <c:numRef>
              <c:f>考核汇总表!$V$12</c:f>
              <c:numCache>
                <c:formatCode>0.00_ </c:formatCode>
                <c:ptCount val="1"/>
                <c:pt idx="0">
                  <c:v>754.13268945578227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A-402D-8F88-317BFD8781AE}"/>
            </c:ext>
          </c:extLst>
        </c:ser>
        <c:ser>
          <c:idx val="17"/>
          <c:order val="17"/>
          <c:tx>
            <c:strRef>
              <c:f>考核汇总表!$A$21</c:f>
              <c:strCache>
                <c:ptCount val="1"/>
                <c:pt idx="0">
                  <c:v>财务部汇总</c:v>
                </c:pt>
              </c:strCache>
            </c:strRef>
          </c:tx>
          <c:spPr>
            <a:solidFill>
              <a:srgbClr val="CB4B7C"/>
            </a:solidFill>
            <a:ln>
              <a:noFill/>
            </a:ln>
            <a:effectLst/>
          </c:spPr>
          <c:invertIfNegative val="0"/>
          <c:cat>
            <c:strRef>
              <c:f>考核汇总表!$V$3</c:f>
              <c:strCache>
                <c:ptCount val="1"/>
                <c:pt idx="0">
                  <c:v>核心KPI（D+G+L）</c:v>
                </c:pt>
              </c:strCache>
            </c:strRef>
          </c:cat>
          <c:val>
            <c:numRef>
              <c:f>考核汇总表!$V$21</c:f>
              <c:numCache>
                <c:formatCode>0.00_ </c:formatCode>
                <c:ptCount val="1"/>
                <c:pt idx="0">
                  <c:v>776.42204386821334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A-402D-8F88-317BFD8781AE}"/>
            </c:ext>
          </c:extLst>
        </c:ser>
        <c:ser>
          <c:idx val="26"/>
          <c:order val="26"/>
          <c:tx>
            <c:strRef>
              <c:f>考核汇总表!$A$30</c:f>
              <c:strCache>
                <c:ptCount val="1"/>
                <c:pt idx="0">
                  <c:v>人事部汇总</c:v>
                </c:pt>
              </c:strCache>
            </c:strRef>
          </c:tx>
          <c:spPr>
            <a:solidFill>
              <a:srgbClr val="FE7088"/>
            </a:solidFill>
            <a:ln>
              <a:noFill/>
            </a:ln>
            <a:effectLst/>
          </c:spPr>
          <c:invertIfNegative val="0"/>
          <c:cat>
            <c:strRef>
              <c:f>考核汇总表!$V$3</c:f>
              <c:strCache>
                <c:ptCount val="1"/>
                <c:pt idx="0">
                  <c:v>核心KPI（D+G+L）</c:v>
                </c:pt>
              </c:strCache>
            </c:strRef>
          </c:cat>
          <c:val>
            <c:numRef>
              <c:f>考核汇总表!$V$30</c:f>
              <c:numCache>
                <c:formatCode>0.00_ </c:formatCode>
                <c:ptCount val="1"/>
                <c:pt idx="0">
                  <c:v>723.81925629550062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AA-402D-8F88-317BFD8781AE}"/>
            </c:ext>
          </c:extLst>
        </c:ser>
        <c:ser>
          <c:idx val="35"/>
          <c:order val="35"/>
          <c:tx>
            <c:strRef>
              <c:f>考核汇总表!$A$39</c:f>
              <c:strCache>
                <c:ptCount val="1"/>
                <c:pt idx="0">
                  <c:v>生产部汇总</c:v>
                </c:pt>
              </c:strCache>
            </c:strRef>
          </c:tx>
          <c:spPr>
            <a:solidFill>
              <a:srgbClr val="FE9C80"/>
            </a:solidFill>
            <a:ln>
              <a:noFill/>
            </a:ln>
            <a:effectLst/>
          </c:spPr>
          <c:invertIfNegative val="0"/>
          <c:cat>
            <c:strRef>
              <c:f>考核汇总表!$V$3</c:f>
              <c:strCache>
                <c:ptCount val="1"/>
                <c:pt idx="0">
                  <c:v>核心KPI（D+G+L）</c:v>
                </c:pt>
              </c:strCache>
            </c:strRef>
          </c:cat>
          <c:val>
            <c:numRef>
              <c:f>考核汇总表!$V$39</c:f>
              <c:numCache>
                <c:formatCode>0.00_ </c:formatCode>
                <c:ptCount val="1"/>
                <c:pt idx="0">
                  <c:v>674.77962764052995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AA-402D-8F88-317BFD8781AE}"/>
            </c:ext>
          </c:extLst>
        </c:ser>
        <c:ser>
          <c:idx val="44"/>
          <c:order val="44"/>
          <c:tx>
            <c:strRef>
              <c:f>考核汇总表!$A$48</c:f>
              <c:strCache>
                <c:ptCount val="1"/>
                <c:pt idx="0">
                  <c:v>采购部汇总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6E376E"/>
                  </a:gs>
                  <a:gs pos="35000">
                    <a:srgbClr val="CB4B7C"/>
                  </a:gs>
                  <a:gs pos="69000">
                    <a:srgbClr val="FE7088"/>
                  </a:gs>
                  <a:gs pos="100000">
                    <a:srgbClr val="FE9C80"/>
                  </a:gs>
                </a:gsLst>
                <a:lin ang="27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CAAA-402D-8F88-317BFD8781AE}"/>
              </c:ext>
            </c:extLst>
          </c:dPt>
          <c:cat>
            <c:strRef>
              <c:f>考核汇总表!$V$3</c:f>
              <c:strCache>
                <c:ptCount val="1"/>
                <c:pt idx="0">
                  <c:v>核心KPI（D+G+L）</c:v>
                </c:pt>
              </c:strCache>
            </c:strRef>
          </c:cat>
          <c:val>
            <c:numRef>
              <c:f>考核汇总表!$V$48</c:f>
              <c:numCache>
                <c:formatCode>0.00_ </c:formatCode>
                <c:ptCount val="1"/>
                <c:pt idx="0">
                  <c:v>610.26600639169976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AA-402D-8F88-317BFD878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9"/>
        <c:overlap val="-100"/>
        <c:axId val="705994704"/>
        <c:axId val="7059963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考核汇总表!$A$4</c15:sqref>
                        </c15:formulaRef>
                      </c:ext>
                    </c:extLst>
                    <c:strCache>
                      <c:ptCount val="1"/>
                      <c:pt idx="0">
                        <c:v>销售部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考核汇总表!$V$4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93.325782312925156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CAAA-402D-8F88-317BFD8781A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考核汇总表!$A$5</c15:sqref>
                        </c15:formulaRef>
                      </c:ext>
                    </c:extLst>
                    <c:strCache>
                      <c:ptCount val="1"/>
                      <c:pt idx="0">
                        <c:v>销售部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考核汇总表!$V$5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102.10939342403628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AAA-402D-8F88-317BFD8781A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考核汇总表!$A$6</c15:sqref>
                        </c15:formulaRef>
                      </c:ext>
                    </c:extLst>
                    <c:strCache>
                      <c:ptCount val="1"/>
                      <c:pt idx="0">
                        <c:v>销售部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考核汇总表!$V$6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72.505646258503404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AAA-402D-8F88-317BFD8781A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考核汇总表!$A$7</c15:sqref>
                        </c15:formulaRef>
                      </c:ext>
                    </c:extLst>
                    <c:strCache>
                      <c:ptCount val="1"/>
                      <c:pt idx="0">
                        <c:v>销售部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考核汇总表!$V$7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104.58455215419499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AAA-402D-8F88-317BFD8781A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考核汇总表!$A$8</c15:sqref>
                        </c15:formulaRef>
                      </c:ext>
                    </c:extLst>
                    <c:strCache>
                      <c:ptCount val="1"/>
                      <c:pt idx="0">
                        <c:v>销售部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考核汇总表!$V$8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95.508653628117912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AAA-402D-8F88-317BFD8781A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考核汇总表!$A$9</c15:sqref>
                        </c15:formulaRef>
                      </c:ext>
                    </c:extLst>
                    <c:strCache>
                      <c:ptCount val="1"/>
                      <c:pt idx="0">
                        <c:v>销售部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考核汇总表!$V$9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99.329087301587307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AAA-402D-8F88-317BFD8781A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考核汇总表!$A$10</c15:sqref>
                        </c15:formulaRef>
                      </c:ext>
                    </c:extLst>
                    <c:strCache>
                      <c:ptCount val="1"/>
                      <c:pt idx="0">
                        <c:v>销售部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考核汇总表!$V$10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93.827505102040817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AAA-402D-8F88-317BFD8781A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考核汇总表!$A$11</c15:sqref>
                        </c15:formulaRef>
                      </c:ext>
                    </c:extLst>
                    <c:strCache>
                      <c:ptCount val="1"/>
                      <c:pt idx="0">
                        <c:v>销售部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考核汇总表!$V$11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92.942069274376422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CAAA-402D-8F88-317BFD8781AE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考核汇总表!$A$13</c15:sqref>
                        </c15:formulaRef>
                      </c:ext>
                    </c:extLst>
                    <c:strCache>
                      <c:ptCount val="1"/>
                      <c:pt idx="0">
                        <c:v>财务部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考核汇总表!$V$13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101.32492536223833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AAA-402D-8F88-317BFD8781AE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考核汇总表!$A$14</c15:sqref>
                        </c15:formulaRef>
                      </c:ext>
                    </c:extLst>
                    <c:strCache>
                      <c:ptCount val="1"/>
                      <c:pt idx="0">
                        <c:v>财务部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考核汇总表!$V$14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96.218116119575868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AAA-402D-8F88-317BFD8781AE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考核汇总表!$A$15</c15:sqref>
                        </c15:formulaRef>
                      </c:ext>
                    </c:extLst>
                    <c:strCache>
                      <c:ptCount val="1"/>
                      <c:pt idx="0">
                        <c:v>财务部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考核汇总表!$V$15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98.497723549204125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AAA-402D-8F88-317BFD8781AE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考核汇总表!$A$16</c15:sqref>
                        </c15:formulaRef>
                      </c:ext>
                    </c:extLst>
                    <c:strCache>
                      <c:ptCount val="1"/>
                      <c:pt idx="0">
                        <c:v>财务部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考核汇总表!$V$16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103.7752790745694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AAA-402D-8F88-317BFD8781AE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考核汇总表!$A$17</c15:sqref>
                        </c15:formulaRef>
                      </c:ext>
                    </c:extLst>
                    <c:strCache>
                      <c:ptCount val="1"/>
                      <c:pt idx="0">
                        <c:v>财务部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考核汇总表!$V$17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102.46634507942136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CAAA-402D-8F88-317BFD8781AE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考核汇总表!$A$18</c15:sqref>
                        </c15:formulaRef>
                      </c:ext>
                    </c:extLst>
                    <c:strCache>
                      <c:ptCount val="1"/>
                      <c:pt idx="0">
                        <c:v>财务部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考核汇总表!$V$18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93.253293280450222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CAAA-402D-8F88-317BFD8781AE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考核汇总表!$A$19</c15:sqref>
                        </c15:formulaRef>
                      </c:ext>
                    </c:extLst>
                    <c:strCache>
                      <c:ptCount val="1"/>
                      <c:pt idx="0">
                        <c:v>财务部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考核汇总表!$V$19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89.738047842432991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CAAA-402D-8F88-317BFD8781AE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考核汇总表!$A$20</c15:sqref>
                        </c15:formulaRef>
                      </c:ext>
                    </c:extLst>
                    <c:strCache>
                      <c:ptCount val="1"/>
                      <c:pt idx="0">
                        <c:v>财务部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考核汇总表!$V$20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91.148313560321043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CAAA-402D-8F88-317BFD8781AE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考核汇总表!$A$22</c15:sqref>
                        </c15:formulaRef>
                      </c:ext>
                    </c:extLst>
                    <c:strCache>
                      <c:ptCount val="1"/>
                      <c:pt idx="0">
                        <c:v>人事部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考核汇总表!$V$22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94.104035982814182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CAAA-402D-8F88-317BFD8781AE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考核汇总表!$A$23</c15:sqref>
                        </c15:formulaRef>
                      </c:ext>
                    </c:extLst>
                    <c:strCache>
                      <c:ptCount val="1"/>
                      <c:pt idx="0">
                        <c:v>人事部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考核汇总表!$V$23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94.409491586108132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CAAA-402D-8F88-317BFD8781AE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考核汇总表!$A$24</c15:sqref>
                        </c15:formulaRef>
                      </c:ext>
                    </c:extLst>
                    <c:strCache>
                      <c:ptCount val="1"/>
                      <c:pt idx="0">
                        <c:v>人事部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考核汇总表!$V$24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95.971722281895197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CAAA-402D-8F88-317BFD8781AE}"/>
                  </c:ext>
                </c:extLst>
              </c15:ser>
            </c15:filteredBarSeries>
            <c15:filteredBa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考核汇总表!$A$25</c15:sqref>
                        </c15:formulaRef>
                      </c:ext>
                    </c:extLst>
                    <c:strCache>
                      <c:ptCount val="1"/>
                      <c:pt idx="0">
                        <c:v>人事部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考核汇总表!$V$25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93.433867525957737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CAAA-402D-8F88-317BFD8781AE}"/>
                  </c:ext>
                </c:extLst>
              </c15:ser>
            </c15:filteredBarSeries>
            <c15:filteredBa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考核汇总表!$A$26</c15:sqref>
                        </c15:formulaRef>
                      </c:ext>
                    </c:extLst>
                    <c:strCache>
                      <c:ptCount val="1"/>
                      <c:pt idx="0">
                        <c:v>人事部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考核汇总表!$V$26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94.243709869912863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CAAA-402D-8F88-317BFD8781AE}"/>
                  </c:ext>
                </c:extLst>
              </c15:ser>
            </c15:filteredBarSeries>
            <c15:filteredBar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考核汇总表!$A$27</c15:sqref>
                        </c15:formulaRef>
                      </c:ext>
                    </c:extLst>
                    <c:strCache>
                      <c:ptCount val="1"/>
                      <c:pt idx="0">
                        <c:v>人事部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考核汇总表!$V$27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90.963026733500399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CAAA-402D-8F88-317BFD8781AE}"/>
                  </c:ext>
                </c:extLst>
              </c15:ser>
            </c15:filteredBarSeries>
            <c15:filteredBar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考核汇总表!$A$28</c15:sqref>
                        </c15:formulaRef>
                      </c:ext>
                    </c:extLst>
                    <c:strCache>
                      <c:ptCount val="1"/>
                      <c:pt idx="0">
                        <c:v>人事部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考核汇总表!$V$28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64.378100131280576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CAAA-402D-8F88-317BFD8781AE}"/>
                  </c:ext>
                </c:extLst>
              </c15:ser>
            </c15:filteredBarSeries>
            <c15:filteredBar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考核汇总表!$A$29</c15:sqref>
                        </c15:formulaRef>
                      </c:ext>
                    </c:extLst>
                    <c:strCache>
                      <c:ptCount val="1"/>
                      <c:pt idx="0">
                        <c:v>人事部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考核汇总表!$V$29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96.315302184031481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CAAA-402D-8F88-317BFD8781AE}"/>
                  </c:ext>
                </c:extLst>
              </c15:ser>
            </c15:filteredBarSeries>
            <c15:filteredBarSeries>
              <c15:ser>
                <c:idx val="27"/>
                <c:order val="2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考核汇总表!$A$31</c15:sqref>
                        </c15:formulaRef>
                      </c:ext>
                    </c:extLst>
                    <c:strCache>
                      <c:ptCount val="1"/>
                      <c:pt idx="0">
                        <c:v>生产部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考核汇总表!$V$31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87.400608664518458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CAAA-402D-8F88-317BFD8781AE}"/>
                  </c:ext>
                </c:extLst>
              </c15:ser>
            </c15:filteredBarSeries>
            <c15:filteredBarSeries>
              <c15:ser>
                <c:idx val="28"/>
                <c:order val="2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考核汇总表!$A$32</c15:sqref>
                        </c15:formulaRef>
                      </c:ext>
                    </c:extLst>
                    <c:strCache>
                      <c:ptCount val="1"/>
                      <c:pt idx="0">
                        <c:v>生产部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考核汇总表!$V$32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86.544921828380481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CAAA-402D-8F88-317BFD8781AE}"/>
                  </c:ext>
                </c:extLst>
              </c15:ser>
            </c15:filteredBarSeries>
            <c15:filteredBarSeries>
              <c15:ser>
                <c:idx val="29"/>
                <c:order val="2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考核汇总表!$A$33</c15:sqref>
                        </c15:formulaRef>
                      </c:ext>
                    </c:extLst>
                    <c:strCache>
                      <c:ptCount val="1"/>
                      <c:pt idx="0">
                        <c:v>生产部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考核汇总表!$V$33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88.572371404702224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CAAA-402D-8F88-317BFD8781AE}"/>
                  </c:ext>
                </c:extLst>
              </c15:ser>
            </c15:filteredBarSeries>
            <c15:filteredBarSeries>
              <c15:ser>
                <c:idx val="30"/>
                <c:order val="3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考核汇总表!$A$34</c15:sqref>
                        </c15:formulaRef>
                      </c:ext>
                    </c:extLst>
                    <c:strCache>
                      <c:ptCount val="1"/>
                      <c:pt idx="0">
                        <c:v>生产部</c:v>
                      </c:pt>
                    </c:strCache>
                  </c:strRef>
                </c:tx>
                <c:spPr>
                  <a:solidFill>
                    <a:schemeClr val="accent1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考核汇总表!$V$34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88.803317818355424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CAAA-402D-8F88-317BFD8781AE}"/>
                  </c:ext>
                </c:extLst>
              </c15:ser>
            </c15:filteredBarSeries>
            <c15:filteredBarSeries>
              <c15:ser>
                <c:idx val="31"/>
                <c:order val="3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考核汇总表!$A$35</c15:sqref>
                        </c15:formulaRef>
                      </c:ext>
                    </c:extLst>
                    <c:strCache>
                      <c:ptCount val="1"/>
                      <c:pt idx="0">
                        <c:v>生产部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考核汇总表!$V$35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93.713438357799276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CAAA-402D-8F88-317BFD8781AE}"/>
                  </c:ext>
                </c:extLst>
              </c15:ser>
            </c15:filteredBarSeries>
            <c15:filteredBarSeries>
              <c15:ser>
                <c:idx val="32"/>
                <c:order val="3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考核汇总表!$A$36</c15:sqref>
                        </c15:formulaRef>
                      </c:ext>
                    </c:extLst>
                    <c:strCache>
                      <c:ptCount val="1"/>
                      <c:pt idx="0">
                        <c:v>生产部</c:v>
                      </c:pt>
                    </c:strCache>
                  </c:strRef>
                </c:tx>
                <c:spPr>
                  <a:solidFill>
                    <a:schemeClr val="accent3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考核汇总表!$V$36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73.340685045948206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CAAA-402D-8F88-317BFD8781AE}"/>
                  </c:ext>
                </c:extLst>
              </c15:ser>
            </c15:filteredBarSeries>
            <c15:filteredBarSeries>
              <c15:ser>
                <c:idx val="33"/>
                <c:order val="3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考核汇总表!$A$37</c15:sqref>
                        </c15:formulaRef>
                      </c:ext>
                    </c:extLst>
                    <c:strCache>
                      <c:ptCount val="1"/>
                      <c:pt idx="0">
                        <c:v>生产部</c:v>
                      </c:pt>
                    </c:strCache>
                  </c:strRef>
                </c:tx>
                <c:spPr>
                  <a:solidFill>
                    <a:schemeClr val="accent4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考核汇总表!$V$37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68.054755937462701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CAAA-402D-8F88-317BFD8781AE}"/>
                  </c:ext>
                </c:extLst>
              </c15:ser>
            </c15:filteredBarSeries>
            <c15:filteredBarSeries>
              <c15:ser>
                <c:idx val="34"/>
                <c:order val="3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考核汇总表!$A$38</c15:sqref>
                        </c15:formulaRef>
                      </c:ext>
                    </c:extLst>
                    <c:strCache>
                      <c:ptCount val="1"/>
                      <c:pt idx="0">
                        <c:v>生产部</c:v>
                      </c:pt>
                    </c:strCache>
                  </c:strRef>
                </c:tx>
                <c:spPr>
                  <a:solidFill>
                    <a:schemeClr val="accent5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考核汇总表!$V$38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88.349528583363167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CAAA-402D-8F88-317BFD8781AE}"/>
                  </c:ext>
                </c:extLst>
              </c15:ser>
            </c15:filteredBarSeries>
            <c15:filteredBarSeries>
              <c15:ser>
                <c:idx val="36"/>
                <c:order val="3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考核汇总表!$A$40</c15:sqref>
                        </c15:formulaRef>
                      </c:ext>
                    </c:extLst>
                    <c:strCache>
                      <c:ptCount val="1"/>
                      <c:pt idx="0">
                        <c:v>采购部</c:v>
                      </c:pt>
                    </c:strCache>
                  </c:strRef>
                </c:tx>
                <c:spPr>
                  <a:solidFill>
                    <a:schemeClr val="accent1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考核汇总表!$V$40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94.397165443785482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CAAA-402D-8F88-317BFD8781AE}"/>
                  </c:ext>
                </c:extLst>
              </c15:ser>
            </c15:filteredBarSeries>
            <c15:filteredBarSeries>
              <c15:ser>
                <c:idx val="37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考核汇总表!$A$41</c15:sqref>
                        </c15:formulaRef>
                      </c:ext>
                    </c:extLst>
                    <c:strCache>
                      <c:ptCount val="1"/>
                      <c:pt idx="0">
                        <c:v>采购部</c:v>
                      </c:pt>
                    </c:strCache>
                  </c:strRef>
                </c:tx>
                <c:spPr>
                  <a:solidFill>
                    <a:schemeClr val="accent2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考核汇总表!$V$41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67.46390389382212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CAAA-402D-8F88-317BFD8781AE}"/>
                  </c:ext>
                </c:extLst>
              </c15:ser>
            </c15:filteredBarSeries>
            <c15:filteredBarSeries>
              <c15:ser>
                <c:idx val="38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考核汇总表!$A$42</c15:sqref>
                        </c15:formulaRef>
                      </c:ext>
                    </c:extLst>
                    <c:strCache>
                      <c:ptCount val="1"/>
                      <c:pt idx="0">
                        <c:v>采购部</c:v>
                      </c:pt>
                    </c:strCache>
                  </c:strRef>
                </c:tx>
                <c:spPr>
                  <a:solidFill>
                    <a:schemeClr val="accent3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考核汇总表!$V$42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74.602663923722375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CAAA-402D-8F88-317BFD8781AE}"/>
                  </c:ext>
                </c:extLst>
              </c15:ser>
            </c15:filteredBarSeries>
            <c15:filteredBarSeries>
              <c15:ser>
                <c:idx val="39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考核汇总表!$A$43</c15:sqref>
                        </c15:formulaRef>
                      </c:ext>
                    </c:extLst>
                    <c:strCache>
                      <c:ptCount val="1"/>
                      <c:pt idx="0">
                        <c:v>采购部</c:v>
                      </c:pt>
                    </c:strCache>
                  </c:strRef>
                </c:tx>
                <c:spPr>
                  <a:solidFill>
                    <a:schemeClr val="accent4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考核汇总表!$V$43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80.146439739841412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CAAA-402D-8F88-317BFD8781AE}"/>
                  </c:ext>
                </c:extLst>
              </c15:ser>
            </c15:filteredBarSeries>
            <c15:filteredBarSeries>
              <c15:ser>
                <c:idx val="40"/>
                <c:order val="4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考核汇总表!$A$44</c15:sqref>
                        </c15:formulaRef>
                      </c:ext>
                    </c:extLst>
                    <c:strCache>
                      <c:ptCount val="1"/>
                      <c:pt idx="0">
                        <c:v>采购部</c:v>
                      </c:pt>
                    </c:strCache>
                  </c:strRef>
                </c:tx>
                <c:spPr>
                  <a:solidFill>
                    <a:schemeClr val="accent5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考核汇总表!$V$44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78.885432052595462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CAAA-402D-8F88-317BFD8781AE}"/>
                  </c:ext>
                </c:extLst>
              </c15:ser>
            </c15:filteredBarSeries>
            <c15:filteredBarSeries>
              <c15:ser>
                <c:idx val="41"/>
                <c:order val="4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考核汇总表!$A$45</c15:sqref>
                        </c15:formulaRef>
                      </c:ext>
                    </c:extLst>
                    <c:strCache>
                      <c:ptCount val="1"/>
                      <c:pt idx="0">
                        <c:v>采购部</c:v>
                      </c:pt>
                    </c:strCache>
                  </c:strRef>
                </c:tx>
                <c:spPr>
                  <a:solidFill>
                    <a:schemeClr val="accent6">
                      <a:lumMod val="70000"/>
                      <a:lumOff val="3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考核汇总表!$V$45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70.562404477719184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CAAA-402D-8F88-317BFD8781AE}"/>
                  </c:ext>
                </c:extLst>
              </c15:ser>
            </c15:filteredBarSeries>
            <c15:filteredBarSeries>
              <c15:ser>
                <c:idx val="42"/>
                <c:order val="4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考核汇总表!$A$46</c15:sqref>
                        </c15:formulaRef>
                      </c:ext>
                    </c:extLst>
                    <c:strCache>
                      <c:ptCount val="1"/>
                      <c:pt idx="0">
                        <c:v>采购部</c:v>
                      </c:pt>
                    </c:strCache>
                  </c:strRef>
                </c:tx>
                <c:spPr>
                  <a:solidFill>
                    <a:schemeClr val="accent1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考核汇总表!$V$46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58.953948483928727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CAAA-402D-8F88-317BFD8781AE}"/>
                  </c:ext>
                </c:extLst>
              </c15:ser>
            </c15:filteredBarSeries>
            <c15:filteredBarSeries>
              <c15:ser>
                <c:idx val="43"/>
                <c:order val="4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考核汇总表!$A$47</c15:sqref>
                        </c15:formulaRef>
                      </c:ext>
                    </c:extLst>
                    <c:strCache>
                      <c:ptCount val="1"/>
                      <c:pt idx="0">
                        <c:v>采购部</c:v>
                      </c:pt>
                    </c:strCache>
                  </c:strRef>
                </c:tx>
                <c:spPr>
                  <a:solidFill>
                    <a:schemeClr val="accent2">
                      <a:lumMod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考核汇总表!$V$3</c15:sqref>
                        </c15:formulaRef>
                      </c:ext>
                    </c:extLst>
                    <c:strCache>
                      <c:ptCount val="1"/>
                      <c:pt idx="0">
                        <c:v>核心KPI（D+G+L）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考核汇总表!$V$47</c15:sqref>
                        </c15:formulaRef>
                      </c:ext>
                    </c:extLst>
                    <c:numCache>
                      <c:formatCode>0.00_ </c:formatCode>
                      <c:ptCount val="1"/>
                      <c:pt idx="0">
                        <c:v>85.254048376285027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CAAA-402D-8F88-317BFD8781AE}"/>
                  </c:ext>
                </c:extLst>
              </c15:ser>
            </c15:filteredBarSeries>
          </c:ext>
        </c:extLst>
      </c:barChart>
      <c:catAx>
        <c:axId val="70599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5996344"/>
        <c:crosses val="autoZero"/>
        <c:auto val="1"/>
        <c:lblAlgn val="ctr"/>
        <c:lblOffset val="100"/>
        <c:noMultiLvlLbl val="0"/>
      </c:catAx>
      <c:valAx>
        <c:axId val="7059963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95000"/>
                  <a:alpha val="50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crossAx val="70599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563705580671433"/>
          <c:y val="3.73241576642953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幼圆" panose="02010509060101010101" pitchFamily="49" charset="-122"/>
              <a:ea typeface="幼圆" panose="020105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考核汇总表!$AF$3</c:f>
              <c:strCache>
                <c:ptCount val="1"/>
                <c:pt idx="0">
                  <c:v>领导满意度</c:v>
                </c:pt>
              </c:strCache>
            </c:strRef>
          </c:tx>
          <c:spPr>
            <a:gradFill flip="none" rotWithShape="1">
              <a:gsLst>
                <a:gs pos="0">
                  <a:srgbClr val="6E376E"/>
                </a:gs>
                <a:gs pos="37000">
                  <a:srgbClr val="CB4B7C"/>
                </a:gs>
                <a:gs pos="65000">
                  <a:srgbClr val="FE7088"/>
                </a:gs>
                <a:gs pos="100000">
                  <a:srgbClr val="FE9C80"/>
                </a:gs>
              </a:gsLst>
              <a:lin ang="18900000" scaled="0"/>
              <a:tileRect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考核汇总表!$A$4:$A$48</c15:sqref>
                  </c15:fullRef>
                </c:ext>
              </c:extLst>
              <c:f>(考核汇总表!$A$12,考核汇总表!$A$21,考核汇总表!$A$30,考核汇总表!$A$39,考核汇总表!$A$48)</c:f>
              <c:strCache>
                <c:ptCount val="5"/>
                <c:pt idx="0">
                  <c:v>销售部汇总</c:v>
                </c:pt>
                <c:pt idx="1">
                  <c:v>财务部汇总</c:v>
                </c:pt>
                <c:pt idx="2">
                  <c:v>人事部汇总</c:v>
                </c:pt>
                <c:pt idx="3">
                  <c:v>生产部汇总</c:v>
                </c:pt>
                <c:pt idx="4">
                  <c:v>采购部汇总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考核汇总表!$AF$4:$AF$48</c15:sqref>
                  </c15:fullRef>
                </c:ext>
              </c:extLst>
              <c:f>(考核汇总表!$AF$12,考核汇总表!$AF$21,考核汇总表!$AF$30,考核汇总表!$AF$39,考核汇总表!$AF$48)</c:f>
              <c:numCache>
                <c:formatCode>0.00_ </c:formatCode>
                <c:ptCount val="5"/>
                <c:pt idx="0">
                  <c:v>10.5</c:v>
                </c:pt>
                <c:pt idx="1">
                  <c:v>8</c:v>
                </c:pt>
                <c:pt idx="2">
                  <c:v>64.600000000000009</c:v>
                </c:pt>
                <c:pt idx="3">
                  <c:v>65.7</c:v>
                </c:pt>
                <c:pt idx="4">
                  <c:v>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5-4CB1-AC77-CB908FD5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8388224"/>
        <c:axId val="568386912"/>
      </c:barChart>
      <c:catAx>
        <c:axId val="56838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8386912"/>
        <c:crosses val="autoZero"/>
        <c:auto val="1"/>
        <c:lblAlgn val="ctr"/>
        <c:lblOffset val="100"/>
        <c:noMultiLvlLbl val="0"/>
      </c:catAx>
      <c:valAx>
        <c:axId val="56838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56838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幼圆" panose="02010509060101010101" pitchFamily="49" charset="-122"/>
                <a:ea typeface="幼圆" panose="02010509060101010101" pitchFamily="49" charset="-122"/>
                <a:cs typeface="+mn-cs"/>
              </a:defRPr>
            </a:pPr>
            <a:r>
              <a:rPr lang="zh-CN" altLang="en-US">
                <a:solidFill>
                  <a:schemeClr val="tx1"/>
                </a:solidFill>
              </a:rPr>
              <a:t>加减事项</a:t>
            </a:r>
          </a:p>
        </c:rich>
      </c:tx>
      <c:layout>
        <c:manualLayout>
          <c:xMode val="edge"/>
          <c:yMode val="edge"/>
          <c:x val="3.7425609613185799E-2"/>
          <c:y val="4.63484760657564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幼圆" panose="02010509060101010101" pitchFamily="49" charset="-122"/>
              <a:ea typeface="幼圆" panose="020105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考核汇总表!$AD$3</c:f>
              <c:strCache>
                <c:ptCount val="1"/>
                <c:pt idx="0">
                  <c:v>加减事项</c:v>
                </c:pt>
              </c:strCache>
            </c:strRef>
          </c:tx>
          <c:spPr>
            <a:gradFill flip="none" rotWithShape="1">
              <a:gsLst>
                <a:gs pos="0">
                  <a:srgbClr val="6E376E"/>
                </a:gs>
                <a:gs pos="35000">
                  <a:srgbClr val="CB4B7C"/>
                </a:gs>
                <a:gs pos="69000">
                  <a:srgbClr val="FE7088"/>
                </a:gs>
                <a:gs pos="100000">
                  <a:srgbClr val="FE9C80"/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考核汇总表!$A$4:$A$48</c15:sqref>
                  </c15:fullRef>
                </c:ext>
              </c:extLst>
              <c:f>(考核汇总表!$A$12,考核汇总表!$A$21,考核汇总表!$A$30,考核汇总表!$A$39,考核汇总表!$A$48)</c:f>
              <c:strCache>
                <c:ptCount val="5"/>
                <c:pt idx="0">
                  <c:v>销售部汇总</c:v>
                </c:pt>
                <c:pt idx="1">
                  <c:v>财务部汇总</c:v>
                </c:pt>
                <c:pt idx="2">
                  <c:v>人事部汇总</c:v>
                </c:pt>
                <c:pt idx="3">
                  <c:v>生产部汇总</c:v>
                </c:pt>
                <c:pt idx="4">
                  <c:v>采购部汇总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考核汇总表!$AD$4:$AD$48</c15:sqref>
                  </c15:fullRef>
                </c:ext>
              </c:extLst>
              <c:f>(考核汇总表!$AD$12,考核汇总表!$AD$21,考核汇总表!$AD$30,考核汇总表!$AD$39,考核汇总表!$AD$48)</c:f>
              <c:numCache>
                <c:formatCode>0.00_ </c:formatCode>
                <c:ptCount val="5"/>
                <c:pt idx="0">
                  <c:v>7.4444444444444455</c:v>
                </c:pt>
                <c:pt idx="1">
                  <c:v>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4-47EE-B199-123A87B85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00119200"/>
        <c:axId val="700117888"/>
      </c:barChart>
      <c:catAx>
        <c:axId val="70011920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00117888"/>
        <c:crosses val="autoZero"/>
        <c:auto val="1"/>
        <c:lblAlgn val="ctr"/>
        <c:lblOffset val="100"/>
        <c:noMultiLvlLbl val="0"/>
      </c:catAx>
      <c:valAx>
        <c:axId val="70011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70011920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考核汇总表!$L$3</c:f>
              <c:strCache>
                <c:ptCount val="1"/>
                <c:pt idx="0">
                  <c:v>部门KPI</c:v>
                </c:pt>
              </c:strCache>
            </c:strRef>
          </c:tx>
          <c:dPt>
            <c:idx val="0"/>
            <c:bubble3D val="0"/>
            <c:spPr>
              <a:solidFill>
                <a:srgbClr val="6E37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F85-4C3F-9FCF-DA12956EE6FC}"/>
              </c:ext>
            </c:extLst>
          </c:dPt>
          <c:dPt>
            <c:idx val="1"/>
            <c:bubble3D val="0"/>
            <c:spPr>
              <a:solidFill>
                <a:srgbClr val="CB4B7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F85-4C3F-9FCF-DA12956EE6FC}"/>
              </c:ext>
            </c:extLst>
          </c:dPt>
          <c:dPt>
            <c:idx val="2"/>
            <c:bubble3D val="0"/>
            <c:spPr>
              <a:solidFill>
                <a:srgbClr val="FE708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3F85-4C3F-9FCF-DA12956EE6FC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0">
                    <a:srgbClr val="6E376E"/>
                  </a:gs>
                  <a:gs pos="35000">
                    <a:srgbClr val="CB4B7C"/>
                  </a:gs>
                  <a:gs pos="69000">
                    <a:srgbClr val="FE7088"/>
                  </a:gs>
                  <a:gs pos="100000">
                    <a:srgbClr val="FE9C80"/>
                  </a:gs>
                </a:gsLst>
                <a:lin ang="189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3F85-4C3F-9FCF-DA12956EE6FC}"/>
              </c:ext>
            </c:extLst>
          </c:dPt>
          <c:dPt>
            <c:idx val="4"/>
            <c:bubble3D val="0"/>
            <c:spPr>
              <a:solidFill>
                <a:srgbClr val="FE9C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3F85-4C3F-9FCF-DA12956EE6FC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考核汇总表!$A$4:$A$48</c15:sqref>
                  </c15:fullRef>
                </c:ext>
              </c:extLst>
              <c:f>(考核汇总表!$A$12,考核汇总表!$A$21,考核汇总表!$A$30,考核汇总表!$A$39,考核汇总表!$A$48)</c:f>
              <c:strCache>
                <c:ptCount val="5"/>
                <c:pt idx="0">
                  <c:v>销售部汇总</c:v>
                </c:pt>
                <c:pt idx="1">
                  <c:v>财务部汇总</c:v>
                </c:pt>
                <c:pt idx="2">
                  <c:v>人事部汇总</c:v>
                </c:pt>
                <c:pt idx="3">
                  <c:v>生产部汇总</c:v>
                </c:pt>
                <c:pt idx="4">
                  <c:v>采购部汇总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考核汇总表!$L$4:$L$48</c15:sqref>
                  </c15:fullRef>
                </c:ext>
              </c:extLst>
              <c:f>(考核汇总表!$L$12,考核汇总表!$L$21,考核汇总表!$L$30,考核汇总表!$L$39,考核汇总表!$L$48)</c:f>
              <c:numCache>
                <c:formatCode>0.00_ </c:formatCode>
                <c:ptCount val="5"/>
                <c:pt idx="0">
                  <c:v>546.11928809523806</c:v>
                </c:pt>
                <c:pt idx="1">
                  <c:v>567.95605747365551</c:v>
                </c:pt>
                <c:pt idx="2">
                  <c:v>508.11857602339171</c:v>
                </c:pt>
                <c:pt idx="3">
                  <c:v>469.00751879699249</c:v>
                </c:pt>
                <c:pt idx="4">
                  <c:v>405.68071073497555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考核汇总表!$L$4</c15:sqref>
                  <c15:spPr xmlns:c15="http://schemas.microsoft.com/office/drawing/2012/chart"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考核汇总表!$L$5</c15:sqref>
                  <c15:spPr xmlns:c15="http://schemas.microsoft.com/office/drawing/2012/chart"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考核汇总表!$L$6</c15:sqref>
                  <c15:spPr xmlns:c15="http://schemas.microsoft.com/office/drawing/2012/chart"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考核汇总表!$L$7</c15:sqref>
                  <c15:spPr xmlns:c15="http://schemas.microsoft.com/office/drawing/2012/chart"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考核汇总表!$L$8</c15:sqref>
                  <c15:spPr xmlns:c15="http://schemas.microsoft.com/office/drawing/2012/chart"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考核汇总表!$L$9</c15:sqref>
                  <c15:spPr xmlns:c15="http://schemas.microsoft.com/office/drawing/2012/chart"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考核汇总表!$L$10</c15:sqref>
                  <c15:spPr xmlns:c15="http://schemas.microsoft.com/office/drawing/2012/chart"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考核汇总表!$L$11</c15:sqref>
                  <c15:spPr xmlns:c15="http://schemas.microsoft.com/office/drawing/2012/chart"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考核汇总表!$L$13</c15:sqref>
                  <c15:spPr xmlns:c15="http://schemas.microsoft.com/office/drawing/2012/chart"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考核汇总表!$L$14</c15:sqref>
                  <c15:spPr xmlns:c15="http://schemas.microsoft.com/office/drawing/2012/chart"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考核汇总表!$L$15</c15:sqref>
                  <c15:spPr xmlns:c15="http://schemas.microsoft.com/office/drawing/2012/chart"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考核汇总表!$L$16</c15:sqref>
                  <c15:spPr xmlns:c15="http://schemas.microsoft.com/office/drawing/2012/chart"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考核汇总表!$L$17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考核汇总表!$L$18</c15:sqref>
                  <c15:spPr xmlns:c15="http://schemas.microsoft.com/office/drawing/2012/chart"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考核汇总表!$L$19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考核汇总表!$L$20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考核汇总表!$L$24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考核汇总表!$L$25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考核汇总表!$L$26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考核汇总表!$L$27</c15:sqref>
                  <c15:spPr xmlns:c15="http://schemas.microsoft.com/office/drawing/2012/chart">
                    <a:solidFill>
                      <a:schemeClr val="accent6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考核汇总表!$L$28</c15:sqref>
                  <c15:spPr xmlns:c15="http://schemas.microsoft.com/office/drawing/2012/chart"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考核汇总表!$L$29</c15:sqref>
                  <c15:spPr xmlns:c15="http://schemas.microsoft.com/office/drawing/2012/chart"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考核汇总表!$L$31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考核汇总表!$L$32</c15:sqref>
                  <c15:spPr xmlns:c15="http://schemas.microsoft.com/office/drawing/2012/chart"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考核汇总表!$L$33</c15:sqref>
                  <c15:spPr xmlns:c15="http://schemas.microsoft.com/office/drawing/2012/chart"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考核汇总表!$L$34</c15:sqref>
                  <c15:spPr xmlns:c15="http://schemas.microsoft.com/office/drawing/2012/chart">
                    <a:solidFill>
                      <a:schemeClr val="accent1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考核汇总表!$L$35</c15:sqref>
                  <c15:spPr xmlns:c15="http://schemas.microsoft.com/office/drawing/2012/chart">
                    <a:solidFill>
                      <a:schemeClr val="accent2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考核汇总表!$L$36</c15:sqref>
                  <c15:spPr xmlns:c15="http://schemas.microsoft.com/office/drawing/2012/chart">
                    <a:solidFill>
                      <a:schemeClr val="accent3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考核汇总表!$L$37</c15:sqref>
                  <c15:spPr xmlns:c15="http://schemas.microsoft.com/office/drawing/2012/chart">
                    <a:solidFill>
                      <a:schemeClr val="accent4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考核汇总表!$L$38</c15:sqref>
                  <c15:spPr xmlns:c15="http://schemas.microsoft.com/office/drawing/2012/chart">
                    <a:solidFill>
                      <a:schemeClr val="accent5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考核汇总表!$L$40</c15:sqref>
                  <c15:spPr xmlns:c15="http://schemas.microsoft.com/office/drawing/2012/chart"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考核汇总表!$L$41</c15:sqref>
                  <c15:spPr xmlns:c15="http://schemas.microsoft.com/office/drawing/2012/chart"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考核汇总表!$L$42</c15:sqref>
                  <c15:spPr xmlns:c15="http://schemas.microsoft.com/office/drawing/2012/chart"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考核汇总表!$L$43</c15:sqref>
                  <c15:spPr xmlns:c15="http://schemas.microsoft.com/office/drawing/2012/chart"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考核汇总表!$L$44</c15:sqref>
                  <c15:spPr xmlns:c15="http://schemas.microsoft.com/office/drawing/2012/chart"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考核汇总表!$L$45</c15:sqref>
                  <c15:spPr xmlns:c15="http://schemas.microsoft.com/office/drawing/2012/chart"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考核汇总表!$L$46</c15:sqref>
                  <c15:spPr xmlns:c15="http://schemas.microsoft.com/office/drawing/2012/chart">
                    <a:solidFill>
                      <a:schemeClr val="accent1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考核汇总表!$L$47</c15:sqref>
                  <c15:spPr xmlns:c15="http://schemas.microsoft.com/office/drawing/2012/chart">
                    <a:solidFill>
                      <a:schemeClr val="accent2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5A-3F85-4C3F-9FCF-DA12956EE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考核汇总表!$R$3</c:f>
              <c:strCache>
                <c:ptCount val="1"/>
                <c:pt idx="0">
                  <c:v>公共KPI</c:v>
                </c:pt>
              </c:strCache>
            </c:strRef>
          </c:tx>
          <c:dPt>
            <c:idx val="0"/>
            <c:bubble3D val="0"/>
            <c:spPr>
              <a:solidFill>
                <a:srgbClr val="6E37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E87-4115-8814-0BF852D98259}"/>
              </c:ext>
            </c:extLst>
          </c:dPt>
          <c:dPt>
            <c:idx val="1"/>
            <c:bubble3D val="0"/>
            <c:spPr>
              <a:solidFill>
                <a:srgbClr val="CB4B7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E87-4115-8814-0BF852D98259}"/>
              </c:ext>
            </c:extLst>
          </c:dPt>
          <c:dPt>
            <c:idx val="2"/>
            <c:bubble3D val="0"/>
            <c:spPr>
              <a:solidFill>
                <a:srgbClr val="FE708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1E87-4115-8814-0BF852D98259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6E376E"/>
                  </a:gs>
                  <a:gs pos="35000">
                    <a:srgbClr val="CB4B7C"/>
                  </a:gs>
                  <a:gs pos="69000">
                    <a:srgbClr val="FE7088"/>
                  </a:gs>
                  <a:gs pos="100000">
                    <a:srgbClr val="FE9C80"/>
                  </a:gs>
                </a:gsLst>
                <a:lin ang="189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1E87-4115-8814-0BF852D98259}"/>
              </c:ext>
            </c:extLst>
          </c:dPt>
          <c:dPt>
            <c:idx val="4"/>
            <c:bubble3D val="0"/>
            <c:spPr>
              <a:solidFill>
                <a:srgbClr val="FE9C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1E87-4115-8814-0BF852D98259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考核汇总表!$A$4:$A$48</c15:sqref>
                  </c15:fullRef>
                </c:ext>
              </c:extLst>
              <c:f>(考核汇总表!$A$12,考核汇总表!$A$21,考核汇总表!$A$30,考核汇总表!$A$39,考核汇总表!$A$48)</c:f>
              <c:strCache>
                <c:ptCount val="5"/>
                <c:pt idx="0">
                  <c:v>销售部汇总</c:v>
                </c:pt>
                <c:pt idx="1">
                  <c:v>财务部汇总</c:v>
                </c:pt>
                <c:pt idx="2">
                  <c:v>人事部汇总</c:v>
                </c:pt>
                <c:pt idx="3">
                  <c:v>生产部汇总</c:v>
                </c:pt>
                <c:pt idx="4">
                  <c:v>采购部汇总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考核汇总表!$R$4:$R$48</c15:sqref>
                  </c15:fullRef>
                </c:ext>
              </c:extLst>
              <c:f>(考核汇总表!$R$12,考核汇总表!$R$21,考核汇总表!$R$30,考核汇总表!$R$39,考核汇总表!$R$48)</c:f>
              <c:numCache>
                <c:formatCode>0.00_ </c:formatCode>
                <c:ptCount val="5"/>
                <c:pt idx="0">
                  <c:v>134.0814285714286</c:v>
                </c:pt>
                <c:pt idx="1">
                  <c:v>133.63265306122449</c:v>
                </c:pt>
                <c:pt idx="2">
                  <c:v>140.86734693877551</c:v>
                </c:pt>
                <c:pt idx="3">
                  <c:v>130.9387755102041</c:v>
                </c:pt>
                <c:pt idx="4">
                  <c:v>129.7519623233909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考核汇总表!$R$4</c15:sqref>
                  <c15:spPr xmlns:c15="http://schemas.microsoft.com/office/drawing/2012/chart"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考核汇总表!$R$5</c15:sqref>
                  <c15:spPr xmlns:c15="http://schemas.microsoft.com/office/drawing/2012/chart"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考核汇总表!$R$6</c15:sqref>
                  <c15:spPr xmlns:c15="http://schemas.microsoft.com/office/drawing/2012/chart"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考核汇总表!$R$7</c15:sqref>
                  <c15:spPr xmlns:c15="http://schemas.microsoft.com/office/drawing/2012/chart"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考核汇总表!$R$8</c15:sqref>
                  <c15:spPr xmlns:c15="http://schemas.microsoft.com/office/drawing/2012/chart"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考核汇总表!$R$9</c15:sqref>
                  <c15:spPr xmlns:c15="http://schemas.microsoft.com/office/drawing/2012/chart"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考核汇总表!$R$10</c15:sqref>
                  <c15:spPr xmlns:c15="http://schemas.microsoft.com/office/drawing/2012/chart"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考核汇总表!$R$11</c15:sqref>
                  <c15:spPr xmlns:c15="http://schemas.microsoft.com/office/drawing/2012/chart"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考核汇总表!$R$13</c15:sqref>
                  <c15:spPr xmlns:c15="http://schemas.microsoft.com/office/drawing/2012/chart"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考核汇总表!$R$14</c15:sqref>
                  <c15:spPr xmlns:c15="http://schemas.microsoft.com/office/drawing/2012/chart"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考核汇总表!$R$15</c15:sqref>
                  <c15:spPr xmlns:c15="http://schemas.microsoft.com/office/drawing/2012/chart"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考核汇总表!$R$16</c15:sqref>
                  <c15:spPr xmlns:c15="http://schemas.microsoft.com/office/drawing/2012/chart"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考核汇总表!$R$17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考核汇总表!$R$18</c15:sqref>
                  <c15:spPr xmlns:c15="http://schemas.microsoft.com/office/drawing/2012/chart"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考核汇总表!$R$19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考核汇总表!$R$20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考核汇总表!$R$24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考核汇总表!$R$25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考核汇总表!$R$26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考核汇总表!$R$27</c15:sqref>
                  <c15:spPr xmlns:c15="http://schemas.microsoft.com/office/drawing/2012/chart">
                    <a:solidFill>
                      <a:schemeClr val="accent6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考核汇总表!$R$28</c15:sqref>
                  <c15:spPr xmlns:c15="http://schemas.microsoft.com/office/drawing/2012/chart"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考核汇总表!$R$29</c15:sqref>
                  <c15:spPr xmlns:c15="http://schemas.microsoft.com/office/drawing/2012/chart"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考核汇总表!$R$31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考核汇总表!$R$32</c15:sqref>
                  <c15:spPr xmlns:c15="http://schemas.microsoft.com/office/drawing/2012/chart"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考核汇总表!$R$33</c15:sqref>
                  <c15:spPr xmlns:c15="http://schemas.microsoft.com/office/drawing/2012/chart"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考核汇总表!$R$34</c15:sqref>
                  <c15:spPr xmlns:c15="http://schemas.microsoft.com/office/drawing/2012/chart">
                    <a:solidFill>
                      <a:schemeClr val="accent1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考核汇总表!$R$35</c15:sqref>
                  <c15:spPr xmlns:c15="http://schemas.microsoft.com/office/drawing/2012/chart">
                    <a:solidFill>
                      <a:schemeClr val="accent2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考核汇总表!$R$36</c15:sqref>
                  <c15:spPr xmlns:c15="http://schemas.microsoft.com/office/drawing/2012/chart">
                    <a:solidFill>
                      <a:schemeClr val="accent3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考核汇总表!$R$37</c15:sqref>
                  <c15:spPr xmlns:c15="http://schemas.microsoft.com/office/drawing/2012/chart">
                    <a:solidFill>
                      <a:schemeClr val="accent4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考核汇总表!$R$38</c15:sqref>
                  <c15:spPr xmlns:c15="http://schemas.microsoft.com/office/drawing/2012/chart">
                    <a:solidFill>
                      <a:schemeClr val="accent5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考核汇总表!$R$40</c15:sqref>
                  <c15:spPr xmlns:c15="http://schemas.microsoft.com/office/drawing/2012/chart"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考核汇总表!$R$41</c15:sqref>
                  <c15:spPr xmlns:c15="http://schemas.microsoft.com/office/drawing/2012/chart"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考核汇总表!$R$42</c15:sqref>
                  <c15:spPr xmlns:c15="http://schemas.microsoft.com/office/drawing/2012/chart"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考核汇总表!$R$43</c15:sqref>
                  <c15:spPr xmlns:c15="http://schemas.microsoft.com/office/drawing/2012/chart"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考核汇总表!$R$44</c15:sqref>
                  <c15:spPr xmlns:c15="http://schemas.microsoft.com/office/drawing/2012/chart"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考核汇总表!$R$45</c15:sqref>
                  <c15:spPr xmlns:c15="http://schemas.microsoft.com/office/drawing/2012/chart"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考核汇总表!$R$46</c15:sqref>
                  <c15:spPr xmlns:c15="http://schemas.microsoft.com/office/drawing/2012/chart">
                    <a:solidFill>
                      <a:schemeClr val="accent1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考核汇总表!$R$47</c15:sqref>
                  <c15:spPr xmlns:c15="http://schemas.microsoft.com/office/drawing/2012/chart">
                    <a:solidFill>
                      <a:schemeClr val="accent2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5A-1E87-4115-8814-0BF852D98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考核汇总表!$U$3</c:f>
              <c:strCache>
                <c:ptCount val="1"/>
                <c:pt idx="0">
                  <c:v>学习KPI</c:v>
                </c:pt>
              </c:strCache>
            </c:strRef>
          </c:tx>
          <c:dPt>
            <c:idx val="0"/>
            <c:bubble3D val="0"/>
            <c:spPr>
              <a:solidFill>
                <a:srgbClr val="6E37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49B-432C-90CA-304039D409BC}"/>
              </c:ext>
            </c:extLst>
          </c:dPt>
          <c:dPt>
            <c:idx val="1"/>
            <c:bubble3D val="0"/>
            <c:spPr>
              <a:solidFill>
                <a:srgbClr val="CB4B7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49B-432C-90CA-304039D409BC}"/>
              </c:ext>
            </c:extLst>
          </c:dPt>
          <c:dPt>
            <c:idx val="2"/>
            <c:bubble3D val="0"/>
            <c:spPr>
              <a:solidFill>
                <a:srgbClr val="FE708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49B-432C-90CA-304039D409BC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6E376E"/>
                  </a:gs>
                  <a:gs pos="35000">
                    <a:srgbClr val="CB4B7C"/>
                  </a:gs>
                  <a:gs pos="69000">
                    <a:srgbClr val="FE7088"/>
                  </a:gs>
                  <a:gs pos="100000">
                    <a:srgbClr val="FE9C80"/>
                  </a:gs>
                </a:gsLst>
                <a:lin ang="189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549B-432C-90CA-304039D409BC}"/>
              </c:ext>
            </c:extLst>
          </c:dPt>
          <c:dPt>
            <c:idx val="4"/>
            <c:bubble3D val="0"/>
            <c:spPr>
              <a:solidFill>
                <a:srgbClr val="FE9C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549B-432C-90CA-304039D409BC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考核汇总表!$A$4:$A$48</c15:sqref>
                  </c15:fullRef>
                </c:ext>
              </c:extLst>
              <c:f>(考核汇总表!$A$12,考核汇总表!$A$21,考核汇总表!$A$30,考核汇总表!$A$39,考核汇总表!$A$48)</c:f>
              <c:strCache>
                <c:ptCount val="5"/>
                <c:pt idx="0">
                  <c:v>销售部汇总</c:v>
                </c:pt>
                <c:pt idx="1">
                  <c:v>财务部汇总</c:v>
                </c:pt>
                <c:pt idx="2">
                  <c:v>人事部汇总</c:v>
                </c:pt>
                <c:pt idx="3">
                  <c:v>生产部汇总</c:v>
                </c:pt>
                <c:pt idx="4">
                  <c:v>采购部汇总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考核汇总表!$U$4:$U$48</c15:sqref>
                  </c15:fullRef>
                </c:ext>
              </c:extLst>
              <c:f>(考核汇总表!$U$12,考核汇总表!$U$21,考核汇总表!$U$30,考核汇总表!$U$39,考核汇总表!$U$48)</c:f>
              <c:numCache>
                <c:formatCode>0.00_ </c:formatCode>
                <c:ptCount val="5"/>
                <c:pt idx="0">
                  <c:v>73.931972789115662</c:v>
                </c:pt>
                <c:pt idx="1">
                  <c:v>74.833333333333343</c:v>
                </c:pt>
                <c:pt idx="2">
                  <c:v>74.833333333333343</c:v>
                </c:pt>
                <c:pt idx="3">
                  <c:v>74.833333333333343</c:v>
                </c:pt>
                <c:pt idx="4">
                  <c:v>74.833333333333343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考核汇总表!$U$4</c15:sqref>
                  <c15:spPr xmlns:c15="http://schemas.microsoft.com/office/drawing/2012/chart"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考核汇总表!$U$5</c15:sqref>
                  <c15:spPr xmlns:c15="http://schemas.microsoft.com/office/drawing/2012/chart"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考核汇总表!$U$6</c15:sqref>
                  <c15:spPr xmlns:c15="http://schemas.microsoft.com/office/drawing/2012/chart"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考核汇总表!$U$7</c15:sqref>
                  <c15:spPr xmlns:c15="http://schemas.microsoft.com/office/drawing/2012/chart"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考核汇总表!$U$8</c15:sqref>
                  <c15:spPr xmlns:c15="http://schemas.microsoft.com/office/drawing/2012/chart"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考核汇总表!$U$9</c15:sqref>
                  <c15:spPr xmlns:c15="http://schemas.microsoft.com/office/drawing/2012/chart"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考核汇总表!$U$10</c15:sqref>
                  <c15:spPr xmlns:c15="http://schemas.microsoft.com/office/drawing/2012/chart"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考核汇总表!$U$11</c15:sqref>
                  <c15:spPr xmlns:c15="http://schemas.microsoft.com/office/drawing/2012/chart"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考核汇总表!$U$13</c15:sqref>
                  <c15:spPr xmlns:c15="http://schemas.microsoft.com/office/drawing/2012/chart"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考核汇总表!$U$14</c15:sqref>
                  <c15:spPr xmlns:c15="http://schemas.microsoft.com/office/drawing/2012/chart"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考核汇总表!$U$15</c15:sqref>
                  <c15:spPr xmlns:c15="http://schemas.microsoft.com/office/drawing/2012/chart"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考核汇总表!$U$16</c15:sqref>
                  <c15:spPr xmlns:c15="http://schemas.microsoft.com/office/drawing/2012/chart"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考核汇总表!$U$17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考核汇总表!$U$18</c15:sqref>
                  <c15:spPr xmlns:c15="http://schemas.microsoft.com/office/drawing/2012/chart"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考核汇总表!$U$19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考核汇总表!$U$20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考核汇总表!$U$24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考核汇总表!$U$25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考核汇总表!$U$26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考核汇总表!$U$27</c15:sqref>
                  <c15:spPr xmlns:c15="http://schemas.microsoft.com/office/drawing/2012/chart">
                    <a:solidFill>
                      <a:schemeClr val="accent6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考核汇总表!$U$28</c15:sqref>
                  <c15:spPr xmlns:c15="http://schemas.microsoft.com/office/drawing/2012/chart"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考核汇总表!$U$29</c15:sqref>
                  <c15:spPr xmlns:c15="http://schemas.microsoft.com/office/drawing/2012/chart"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考核汇总表!$U$31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考核汇总表!$U$32</c15:sqref>
                  <c15:spPr xmlns:c15="http://schemas.microsoft.com/office/drawing/2012/chart"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考核汇总表!$U$33</c15:sqref>
                  <c15:spPr xmlns:c15="http://schemas.microsoft.com/office/drawing/2012/chart"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考核汇总表!$U$34</c15:sqref>
                  <c15:spPr xmlns:c15="http://schemas.microsoft.com/office/drawing/2012/chart">
                    <a:solidFill>
                      <a:schemeClr val="accent1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考核汇总表!$U$35</c15:sqref>
                  <c15:spPr xmlns:c15="http://schemas.microsoft.com/office/drawing/2012/chart">
                    <a:solidFill>
                      <a:schemeClr val="accent2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考核汇总表!$U$36</c15:sqref>
                  <c15:spPr xmlns:c15="http://schemas.microsoft.com/office/drawing/2012/chart">
                    <a:solidFill>
                      <a:schemeClr val="accent3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考核汇总表!$U$37</c15:sqref>
                  <c15:spPr xmlns:c15="http://schemas.microsoft.com/office/drawing/2012/chart">
                    <a:solidFill>
                      <a:schemeClr val="accent4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考核汇总表!$U$38</c15:sqref>
                  <c15:spPr xmlns:c15="http://schemas.microsoft.com/office/drawing/2012/chart">
                    <a:solidFill>
                      <a:schemeClr val="accent5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考核汇总表!$U$40</c15:sqref>
                  <c15:spPr xmlns:c15="http://schemas.microsoft.com/office/drawing/2012/chart"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考核汇总表!$U$41</c15:sqref>
                  <c15:spPr xmlns:c15="http://schemas.microsoft.com/office/drawing/2012/chart"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考核汇总表!$U$42</c15:sqref>
                  <c15:spPr xmlns:c15="http://schemas.microsoft.com/office/drawing/2012/chart"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考核汇总表!$U$43</c15:sqref>
                  <c15:spPr xmlns:c15="http://schemas.microsoft.com/office/drawing/2012/chart"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考核汇总表!$U$44</c15:sqref>
                  <c15:spPr xmlns:c15="http://schemas.microsoft.com/office/drawing/2012/chart"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考核汇总表!$U$45</c15:sqref>
                  <c15:spPr xmlns:c15="http://schemas.microsoft.com/office/drawing/2012/chart"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考核汇总表!$U$46</c15:sqref>
                  <c15:spPr xmlns:c15="http://schemas.microsoft.com/office/drawing/2012/chart">
                    <a:solidFill>
                      <a:schemeClr val="accent1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考核汇总表!$U$47</c15:sqref>
                  <c15:spPr xmlns:c15="http://schemas.microsoft.com/office/drawing/2012/chart">
                    <a:solidFill>
                      <a:schemeClr val="accent2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5A-549B-432C-90CA-304039D40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考核汇总表!$AD$3</c:f>
              <c:strCache>
                <c:ptCount val="1"/>
                <c:pt idx="0">
                  <c:v>加减事项</c:v>
                </c:pt>
              </c:strCache>
            </c:strRef>
          </c:tx>
          <c:dPt>
            <c:idx val="0"/>
            <c:bubble3D val="0"/>
            <c:spPr>
              <a:solidFill>
                <a:srgbClr val="6E376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D79-472B-B6A0-5187CC5ECAA0}"/>
              </c:ext>
            </c:extLst>
          </c:dPt>
          <c:dPt>
            <c:idx val="1"/>
            <c:bubble3D val="0"/>
            <c:spPr>
              <a:solidFill>
                <a:srgbClr val="CB4B7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D79-472B-B6A0-5187CC5ECAA0}"/>
              </c:ext>
            </c:extLst>
          </c:dPt>
          <c:dPt>
            <c:idx val="2"/>
            <c:bubble3D val="0"/>
            <c:spPr>
              <a:solidFill>
                <a:srgbClr val="FE708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4D79-472B-B6A0-5187CC5ECAA0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6E376E"/>
                  </a:gs>
                  <a:gs pos="35000">
                    <a:srgbClr val="CB4B7C"/>
                  </a:gs>
                  <a:gs pos="69000">
                    <a:srgbClr val="FE7088"/>
                  </a:gs>
                  <a:gs pos="100000">
                    <a:srgbClr val="FE9C80"/>
                  </a:gs>
                </a:gsLst>
                <a:lin ang="18900000" scaled="1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4D79-472B-B6A0-5187CC5ECAA0}"/>
              </c:ext>
            </c:extLst>
          </c:dPt>
          <c:dPt>
            <c:idx val="4"/>
            <c:bubble3D val="0"/>
            <c:spPr>
              <a:solidFill>
                <a:srgbClr val="FE9C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4D79-472B-B6A0-5187CC5ECAA0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考核汇总表!$A$4:$A$48</c15:sqref>
                  </c15:fullRef>
                </c:ext>
              </c:extLst>
              <c:f>(考核汇总表!$A$12,考核汇总表!$A$21,考核汇总表!$A$30,考核汇总表!$A$39,考核汇总表!$A$48)</c:f>
              <c:strCache>
                <c:ptCount val="5"/>
                <c:pt idx="0">
                  <c:v>销售部汇总</c:v>
                </c:pt>
                <c:pt idx="1">
                  <c:v>财务部汇总</c:v>
                </c:pt>
                <c:pt idx="2">
                  <c:v>人事部汇总</c:v>
                </c:pt>
                <c:pt idx="3">
                  <c:v>生产部汇总</c:v>
                </c:pt>
                <c:pt idx="4">
                  <c:v>采购部汇总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考核汇总表!$AD$4:$AD$48</c15:sqref>
                  </c15:fullRef>
                </c:ext>
              </c:extLst>
              <c:f>(考核汇总表!$AD$12,考核汇总表!$AD$21,考核汇总表!$AD$30,考核汇总表!$AD$39,考核汇总表!$AD$48)</c:f>
              <c:numCache>
                <c:formatCode>0.00_ </c:formatCode>
                <c:ptCount val="5"/>
                <c:pt idx="0">
                  <c:v>7.4444444444444455</c:v>
                </c:pt>
                <c:pt idx="1">
                  <c:v>3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考核汇总表!$AD$4</c15:sqref>
                  <c15:spPr xmlns:c15="http://schemas.microsoft.com/office/drawing/2012/chart"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考核汇总表!$AD$5</c15:sqref>
                  <c15:spPr xmlns:c15="http://schemas.microsoft.com/office/drawing/2012/chart"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考核汇总表!$AD$6</c15:sqref>
                  <c15:spPr xmlns:c15="http://schemas.microsoft.com/office/drawing/2012/chart"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考核汇总表!$AD$7</c15:sqref>
                  <c15:spPr xmlns:c15="http://schemas.microsoft.com/office/drawing/2012/chart"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考核汇总表!$AD$8</c15:sqref>
                  <c15:spPr xmlns:c15="http://schemas.microsoft.com/office/drawing/2012/chart"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考核汇总表!$AD$9</c15:sqref>
                  <c15:spPr xmlns:c15="http://schemas.microsoft.com/office/drawing/2012/chart"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考核汇总表!$AD$10</c15:sqref>
                  <c15:spPr xmlns:c15="http://schemas.microsoft.com/office/drawing/2012/chart"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考核汇总表!$AD$11</c15:sqref>
                  <c15:spPr xmlns:c15="http://schemas.microsoft.com/office/drawing/2012/chart"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考核汇总表!$AD$13</c15:sqref>
                  <c15:spPr xmlns:c15="http://schemas.microsoft.com/office/drawing/2012/chart"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考核汇总表!$AD$14</c15:sqref>
                  <c15:spPr xmlns:c15="http://schemas.microsoft.com/office/drawing/2012/chart"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考核汇总表!$AD$15</c15:sqref>
                  <c15:spPr xmlns:c15="http://schemas.microsoft.com/office/drawing/2012/chart"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考核汇总表!$AD$16</c15:sqref>
                  <c15:spPr xmlns:c15="http://schemas.microsoft.com/office/drawing/2012/chart"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考核汇总表!$AD$17</c15:sqref>
                  <c15:spPr xmlns:c15="http://schemas.microsoft.com/office/drawing/2012/chart"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考核汇总表!$AD$18</c15:sqref>
                  <c15:spPr xmlns:c15="http://schemas.microsoft.com/office/drawing/2012/chart"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考核汇总表!$AD$19</c15:sqref>
                  <c15:spPr xmlns:c15="http://schemas.microsoft.com/office/drawing/2012/chart"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考核汇总表!$AD$20</c15:sqref>
                  <c15:spPr xmlns:c15="http://schemas.microsoft.com/office/drawing/2012/chart"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考核汇总表!$AD$22</c15:sqref>
                  <c15:spPr xmlns:c15="http://schemas.microsoft.com/office/drawing/2012/chart">
                    <a:solidFill>
                      <a:schemeClr val="accent1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考核汇总表!$AD$23</c15:sqref>
                  <c15:spPr xmlns:c15="http://schemas.microsoft.com/office/drawing/2012/chart">
                    <a:solidFill>
                      <a:schemeClr val="accent2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考核汇总表!$AD$24</c15:sqref>
                  <c15:spPr xmlns:c15="http://schemas.microsoft.com/office/drawing/2012/chart">
                    <a:solidFill>
                      <a:schemeClr val="accent3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考核汇总表!$AD$25</c15:sqref>
                  <c15:spPr xmlns:c15="http://schemas.microsoft.com/office/drawing/2012/chart">
                    <a:solidFill>
                      <a:schemeClr val="accent4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考核汇总表!$AD$26</c15:sqref>
                  <c15:spPr xmlns:c15="http://schemas.microsoft.com/office/drawing/2012/chart">
                    <a:solidFill>
                      <a:schemeClr val="accent5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考核汇总表!$AD$27</c15:sqref>
                  <c15:spPr xmlns:c15="http://schemas.microsoft.com/office/drawing/2012/chart">
                    <a:solidFill>
                      <a:schemeClr val="accent6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考核汇总表!$AD$28</c15:sqref>
                  <c15:spPr xmlns:c15="http://schemas.microsoft.com/office/drawing/2012/chart"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考核汇总表!$AD$29</c15:sqref>
                  <c15:spPr xmlns:c15="http://schemas.microsoft.com/office/drawing/2012/chart"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考核汇总表!$AD$31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考核汇总表!$AD$32</c15:sqref>
                  <c15:spPr xmlns:c15="http://schemas.microsoft.com/office/drawing/2012/chart"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考核汇总表!$AD$33</c15:sqref>
                  <c15:spPr xmlns:c15="http://schemas.microsoft.com/office/drawing/2012/chart"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考核汇总表!$AD$34</c15:sqref>
                  <c15:spPr xmlns:c15="http://schemas.microsoft.com/office/drawing/2012/chart">
                    <a:solidFill>
                      <a:schemeClr val="accent1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考核汇总表!$AD$35</c15:sqref>
                  <c15:spPr xmlns:c15="http://schemas.microsoft.com/office/drawing/2012/chart">
                    <a:solidFill>
                      <a:schemeClr val="accent2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考核汇总表!$AD$36</c15:sqref>
                  <c15:spPr xmlns:c15="http://schemas.microsoft.com/office/drawing/2012/chart">
                    <a:solidFill>
                      <a:schemeClr val="accent3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考核汇总表!$AD$37</c15:sqref>
                  <c15:spPr xmlns:c15="http://schemas.microsoft.com/office/drawing/2012/chart">
                    <a:solidFill>
                      <a:schemeClr val="accent4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考核汇总表!$AD$38</c15:sqref>
                  <c15:spPr xmlns:c15="http://schemas.microsoft.com/office/drawing/2012/chart">
                    <a:solidFill>
                      <a:schemeClr val="accent5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考核汇总表!$AD$40</c15:sqref>
                  <c15:spPr xmlns:c15="http://schemas.microsoft.com/office/drawing/2012/chart"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考核汇总表!$AD$41</c15:sqref>
                  <c15:spPr xmlns:c15="http://schemas.microsoft.com/office/drawing/2012/chart"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考核汇总表!$AD$42</c15:sqref>
                  <c15:spPr xmlns:c15="http://schemas.microsoft.com/office/drawing/2012/chart"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考核汇总表!$AD$43</c15:sqref>
                  <c15:spPr xmlns:c15="http://schemas.microsoft.com/office/drawing/2012/chart"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考核汇总表!$AD$44</c15:sqref>
                  <c15:spPr xmlns:c15="http://schemas.microsoft.com/office/drawing/2012/chart"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考核汇总表!$AD$45</c15:sqref>
                  <c15:spPr xmlns:c15="http://schemas.microsoft.com/office/drawing/2012/chart"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考核汇总表!$AD$46</c15:sqref>
                  <c15:spPr xmlns:c15="http://schemas.microsoft.com/office/drawing/2012/chart">
                    <a:solidFill>
                      <a:schemeClr val="accent1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考核汇总表!$AD$47</c15:sqref>
                  <c15:spPr xmlns:c15="http://schemas.microsoft.com/office/drawing/2012/chart">
                    <a:solidFill>
                      <a:schemeClr val="accent2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5A-4D79-472B-B6A0-5187CC5EC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幼圆" panose="02010509060101010101" pitchFamily="49" charset="-122"/>
                <a:ea typeface="幼圆" panose="02010509060101010101" pitchFamily="49" charset="-122"/>
                <a:cs typeface="+mn-cs"/>
              </a:defRPr>
            </a:pPr>
            <a:r>
              <a:rPr lang="zh-CN" altLang="en-US">
                <a:solidFill>
                  <a:schemeClr val="bg1"/>
                </a:solidFill>
                <a:latin typeface="幼圆" panose="02010509060101010101" pitchFamily="49" charset="-122"/>
                <a:ea typeface="幼圆" panose="02010509060101010101" pitchFamily="49" charset="-122"/>
              </a:rPr>
              <a:t>公司全体员工</a:t>
            </a:r>
            <a:r>
              <a:rPr lang="en-US" altLang="zh-CN">
                <a:solidFill>
                  <a:schemeClr val="bg1"/>
                </a:solidFill>
                <a:latin typeface="Calibri" panose="020F0502020204030204" pitchFamily="34" charset="0"/>
                <a:ea typeface="幼圆" panose="02010509060101010101" pitchFamily="49" charset="-122"/>
                <a:cs typeface="Calibri" panose="020F0502020204030204" pitchFamily="34" charset="0"/>
              </a:rPr>
              <a:t>KPI</a:t>
            </a:r>
            <a:r>
              <a:rPr lang="zh-CN" altLang="en-US">
                <a:solidFill>
                  <a:schemeClr val="bg1"/>
                </a:solidFill>
                <a:latin typeface="幼圆" panose="02010509060101010101" pitchFamily="49" charset="-122"/>
                <a:ea typeface="幼圆" panose="02010509060101010101" pitchFamily="49" charset="-122"/>
              </a:rPr>
              <a:t>指标分布图</a:t>
            </a:r>
          </a:p>
        </c:rich>
      </c:tx>
      <c:layout>
        <c:manualLayout>
          <c:xMode val="edge"/>
          <c:yMode val="edge"/>
          <c:x val="2.1534457778526733E-2"/>
          <c:y val="6.981759888277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幼圆" panose="02010509060101010101" pitchFamily="49" charset="-122"/>
              <a:ea typeface="幼圆" panose="020105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2.1594102290505134E-2"/>
          <c:y val="0.33377546853288498"/>
          <c:w val="0.95681179541898975"/>
          <c:h val="0.57435598306251734"/>
        </c:manualLayout>
      </c:layout>
      <c:lineChart>
        <c:grouping val="standard"/>
        <c:varyColors val="0"/>
        <c:ser>
          <c:idx val="0"/>
          <c:order val="0"/>
          <c:tx>
            <c:strRef>
              <c:f>考核汇总表!$AG$3</c:f>
              <c:strCache>
                <c:ptCount val="1"/>
                <c:pt idx="0">
                  <c:v>总分</c:v>
                </c:pt>
              </c:strCache>
            </c:strRef>
          </c:tx>
          <c:spPr>
            <a:ln w="28575" cap="rnd">
              <a:gradFill>
                <a:gsLst>
                  <a:gs pos="0">
                    <a:srgbClr val="6E376E"/>
                  </a:gs>
                  <a:gs pos="40000">
                    <a:srgbClr val="CB4B7C"/>
                  </a:gs>
                  <a:gs pos="70000">
                    <a:srgbClr val="FE7088"/>
                  </a:gs>
                  <a:gs pos="100000">
                    <a:srgbClr val="FE9C8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考核汇总表!$B$4:$B$48</c15:sqref>
                  </c15:fullRef>
                </c:ext>
              </c:extLst>
              <c:f>(考核汇总表!$B$4:$B$11,考核汇总表!$B$13:$B$20,考核汇总表!$B$22:$B$29,考核汇总表!$B$31:$B$38,考核汇总表!$B$40:$B$47)</c:f>
              <c:strCache>
                <c:ptCount val="40"/>
                <c:pt idx="0">
                  <c:v>员工01</c:v>
                </c:pt>
                <c:pt idx="1">
                  <c:v>员工02</c:v>
                </c:pt>
                <c:pt idx="2">
                  <c:v>员工03</c:v>
                </c:pt>
                <c:pt idx="3">
                  <c:v>员工04</c:v>
                </c:pt>
                <c:pt idx="4">
                  <c:v>员工05</c:v>
                </c:pt>
                <c:pt idx="5">
                  <c:v>员工06</c:v>
                </c:pt>
                <c:pt idx="6">
                  <c:v>员工07</c:v>
                </c:pt>
                <c:pt idx="7">
                  <c:v>员工08</c:v>
                </c:pt>
                <c:pt idx="8">
                  <c:v>员工09</c:v>
                </c:pt>
                <c:pt idx="9">
                  <c:v>员工10</c:v>
                </c:pt>
                <c:pt idx="10">
                  <c:v>员工11</c:v>
                </c:pt>
                <c:pt idx="11">
                  <c:v>员工12</c:v>
                </c:pt>
                <c:pt idx="12">
                  <c:v>员工13</c:v>
                </c:pt>
                <c:pt idx="13">
                  <c:v>员工14</c:v>
                </c:pt>
                <c:pt idx="14">
                  <c:v>员工15</c:v>
                </c:pt>
                <c:pt idx="15">
                  <c:v>员工16</c:v>
                </c:pt>
                <c:pt idx="16">
                  <c:v>员工17</c:v>
                </c:pt>
                <c:pt idx="17">
                  <c:v>员工18</c:v>
                </c:pt>
                <c:pt idx="18">
                  <c:v>员工19</c:v>
                </c:pt>
                <c:pt idx="19">
                  <c:v>员工20</c:v>
                </c:pt>
                <c:pt idx="20">
                  <c:v>员工21</c:v>
                </c:pt>
                <c:pt idx="21">
                  <c:v>员工22</c:v>
                </c:pt>
                <c:pt idx="22">
                  <c:v>员工23</c:v>
                </c:pt>
                <c:pt idx="23">
                  <c:v>员工24</c:v>
                </c:pt>
                <c:pt idx="24">
                  <c:v>员工25</c:v>
                </c:pt>
                <c:pt idx="25">
                  <c:v>员工26</c:v>
                </c:pt>
                <c:pt idx="26">
                  <c:v>员工27</c:v>
                </c:pt>
                <c:pt idx="27">
                  <c:v>员工28</c:v>
                </c:pt>
                <c:pt idx="28">
                  <c:v>员工29</c:v>
                </c:pt>
                <c:pt idx="29">
                  <c:v>员工30</c:v>
                </c:pt>
                <c:pt idx="30">
                  <c:v>员工31</c:v>
                </c:pt>
                <c:pt idx="31">
                  <c:v>员工32</c:v>
                </c:pt>
                <c:pt idx="32">
                  <c:v>员工33</c:v>
                </c:pt>
                <c:pt idx="33">
                  <c:v>员工34</c:v>
                </c:pt>
                <c:pt idx="34">
                  <c:v>员工35</c:v>
                </c:pt>
                <c:pt idx="35">
                  <c:v>员工36</c:v>
                </c:pt>
                <c:pt idx="36">
                  <c:v>员工37</c:v>
                </c:pt>
                <c:pt idx="37">
                  <c:v>员工38</c:v>
                </c:pt>
                <c:pt idx="38">
                  <c:v>员工39</c:v>
                </c:pt>
                <c:pt idx="39">
                  <c:v>员工40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考核汇总表!$AG$4:$AG$48</c15:sqref>
                  </c15:fullRef>
                </c:ext>
              </c:extLst>
              <c:f>(考核汇总表!$AG$4:$AG$11,考核汇总表!$AG$13:$AG$20,考核汇总表!$AG$22:$AG$29,考核汇总表!$AG$31:$AG$38,考核汇总表!$AG$40:$AG$47)</c:f>
              <c:numCache>
                <c:formatCode>0.00_ </c:formatCode>
                <c:ptCount val="40"/>
                <c:pt idx="0">
                  <c:v>97.770226757369599</c:v>
                </c:pt>
                <c:pt idx="1">
                  <c:v>106.10939342403628</c:v>
                </c:pt>
                <c:pt idx="2">
                  <c:v>60.505646258503404</c:v>
                </c:pt>
                <c:pt idx="3">
                  <c:v>119.08455215419499</c:v>
                </c:pt>
                <c:pt idx="4">
                  <c:v>96.008653628117912</c:v>
                </c:pt>
                <c:pt idx="5">
                  <c:v>102.32908730158731</c:v>
                </c:pt>
                <c:pt idx="6">
                  <c:v>97.327505102040817</c:v>
                </c:pt>
                <c:pt idx="7">
                  <c:v>92.942069274376422</c:v>
                </c:pt>
                <c:pt idx="8">
                  <c:v>98.824925362238332</c:v>
                </c:pt>
                <c:pt idx="9">
                  <c:v>100.21811611957587</c:v>
                </c:pt>
                <c:pt idx="10">
                  <c:v>93.497723549204125</c:v>
                </c:pt>
                <c:pt idx="11">
                  <c:v>113.2752790745694</c:v>
                </c:pt>
                <c:pt idx="12">
                  <c:v>100.96634507942136</c:v>
                </c:pt>
                <c:pt idx="13">
                  <c:v>96.253293280450222</c:v>
                </c:pt>
                <c:pt idx="14">
                  <c:v>93.238047842432991</c:v>
                </c:pt>
                <c:pt idx="15">
                  <c:v>91.148313560321043</c:v>
                </c:pt>
                <c:pt idx="16">
                  <c:v>101.60403598281418</c:v>
                </c:pt>
                <c:pt idx="17">
                  <c:v>103.20949158610813</c:v>
                </c:pt>
                <c:pt idx="18">
                  <c:v>105.9717222818952</c:v>
                </c:pt>
                <c:pt idx="19">
                  <c:v>103.33386752595774</c:v>
                </c:pt>
                <c:pt idx="20">
                  <c:v>100.34370986991286</c:v>
                </c:pt>
                <c:pt idx="21">
                  <c:v>99.563026733500394</c:v>
                </c:pt>
                <c:pt idx="22">
                  <c:v>73.078100131280578</c:v>
                </c:pt>
                <c:pt idx="23">
                  <c:v>104.31530218403148</c:v>
                </c:pt>
                <c:pt idx="24">
                  <c:v>97.400608664518458</c:v>
                </c:pt>
                <c:pt idx="25">
                  <c:v>92.044921828380481</c:v>
                </c:pt>
                <c:pt idx="26">
                  <c:v>97.372371404702221</c:v>
                </c:pt>
                <c:pt idx="27">
                  <c:v>102.60331781835542</c:v>
                </c:pt>
                <c:pt idx="28">
                  <c:v>101.61343835779928</c:v>
                </c:pt>
                <c:pt idx="29">
                  <c:v>81.440685045948214</c:v>
                </c:pt>
                <c:pt idx="30">
                  <c:v>78.654755937462696</c:v>
                </c:pt>
                <c:pt idx="31">
                  <c:v>97.349528583363167</c:v>
                </c:pt>
                <c:pt idx="32">
                  <c:v>104.39716544378548</c:v>
                </c:pt>
                <c:pt idx="33">
                  <c:v>62.96390389382212</c:v>
                </c:pt>
                <c:pt idx="34">
                  <c:v>78.602663923722375</c:v>
                </c:pt>
                <c:pt idx="35">
                  <c:v>80.146439739841412</c:v>
                </c:pt>
                <c:pt idx="36">
                  <c:v>86.385432052595462</c:v>
                </c:pt>
                <c:pt idx="37">
                  <c:v>71.062404477719184</c:v>
                </c:pt>
                <c:pt idx="38">
                  <c:v>63.953948483928727</c:v>
                </c:pt>
                <c:pt idx="39">
                  <c:v>90.254048376285027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EC-4707-82D7-ABCADE977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0513056"/>
        <c:axId val="710510104"/>
      </c:lineChart>
      <c:catAx>
        <c:axId val="7105130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10510104"/>
        <c:crosses val="autoZero"/>
        <c:auto val="1"/>
        <c:lblAlgn val="ctr"/>
        <c:lblOffset val="100"/>
        <c:noMultiLvlLbl val="0"/>
      </c:catAx>
      <c:valAx>
        <c:axId val="7105101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crossAx val="71051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116955</xdr:colOff>
      <xdr:row>2</xdr:row>
      <xdr:rowOff>146193</xdr:rowOff>
    </xdr:from>
    <xdr:to>
      <xdr:col>14</xdr:col>
      <xdr:colOff>404531</xdr:colOff>
      <xdr:row>10</xdr:row>
      <xdr:rowOff>133350</xdr:rowOff>
    </xdr:to>
    <xdr:sp macro="" textlink="">
      <xdr:nvSpPr>
        <xdr:cNvPr id="97" name="矩形: 圆角 96">
          <a:extLst>
            <a:ext uri="{FF2B5EF4-FFF2-40B4-BE49-F238E27FC236}">
              <a16:creationId xmlns:a16="http://schemas.microsoft.com/office/drawing/2014/main" id="{84120CDA-B2EF-493D-80FE-73E7F525413E}"/>
            </a:ext>
          </a:extLst>
        </xdr:cNvPr>
        <xdr:cNvSpPr/>
      </xdr:nvSpPr>
      <xdr:spPr>
        <a:xfrm>
          <a:off x="3545955" y="508143"/>
          <a:ext cx="6459776" cy="1434957"/>
        </a:xfrm>
        <a:prstGeom prst="roundRect">
          <a:avLst>
            <a:gd name="adj" fmla="val 9204"/>
          </a:avLst>
        </a:prstGeom>
        <a:solidFill>
          <a:schemeClr val="bg1"/>
        </a:solidFill>
        <a:ln>
          <a:noFill/>
        </a:ln>
        <a:effectLst>
          <a:glow>
            <a:schemeClr val="bg1">
              <a:lumMod val="95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zh-CN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220462</xdr:colOff>
      <xdr:row>2</xdr:row>
      <xdr:rowOff>147703</xdr:rowOff>
    </xdr:from>
    <xdr:to>
      <xdr:col>4</xdr:col>
      <xdr:colOff>591561</xdr:colOff>
      <xdr:row>10</xdr:row>
      <xdr:rowOff>114299</xdr:rowOff>
    </xdr:to>
    <xdr:sp macro="" textlink="">
      <xdr:nvSpPr>
        <xdr:cNvPr id="4" name="矩形: 圆角 3">
          <a:extLst>
            <a:ext uri="{FF2B5EF4-FFF2-40B4-BE49-F238E27FC236}">
              <a16:creationId xmlns:a16="http://schemas.microsoft.com/office/drawing/2014/main" id="{A489F8A1-FB40-4D37-97C3-4043628E1708}"/>
            </a:ext>
          </a:extLst>
        </xdr:cNvPr>
        <xdr:cNvSpPr/>
      </xdr:nvSpPr>
      <xdr:spPr>
        <a:xfrm>
          <a:off x="220462" y="509653"/>
          <a:ext cx="3114299" cy="1414396"/>
        </a:xfrm>
        <a:prstGeom prst="roundRect">
          <a:avLst>
            <a:gd name="adj" fmla="val 8458"/>
          </a:avLst>
        </a:prstGeom>
        <a:solidFill>
          <a:schemeClr val="bg1"/>
        </a:solidFill>
        <a:ln>
          <a:noFill/>
        </a:ln>
        <a:effectLst>
          <a:glow>
            <a:schemeClr val="bg1">
              <a:lumMod val="95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zh-CN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220462</xdr:colOff>
      <xdr:row>2</xdr:row>
      <xdr:rowOff>147132</xdr:rowOff>
    </xdr:from>
    <xdr:to>
      <xdr:col>14</xdr:col>
      <xdr:colOff>404531</xdr:colOff>
      <xdr:row>5</xdr:row>
      <xdr:rowOff>93615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F411F435-B586-4A85-A8A1-02A57D02D878}"/>
            </a:ext>
          </a:extLst>
        </xdr:cNvPr>
        <xdr:cNvGrpSpPr/>
      </xdr:nvGrpSpPr>
      <xdr:grpSpPr>
        <a:xfrm>
          <a:off x="220462" y="511567"/>
          <a:ext cx="9808460" cy="493135"/>
          <a:chOff x="1612" y="967"/>
          <a:chExt cx="14145" cy="811"/>
        </a:xfrm>
        <a:gradFill>
          <a:gsLst>
            <a:gs pos="0">
              <a:srgbClr val="6E376E"/>
            </a:gs>
            <a:gs pos="35000">
              <a:srgbClr val="CB4B7C"/>
            </a:gs>
            <a:gs pos="69000">
              <a:srgbClr val="FE7088"/>
            </a:gs>
            <a:gs pos="100000">
              <a:srgbClr val="FE9C80"/>
            </a:gs>
          </a:gsLst>
          <a:lin ang="19020000" scaled="0"/>
        </a:gradFill>
      </xdr:grpSpPr>
      <xdr:sp macro="" textlink="">
        <xdr:nvSpPr>
          <xdr:cNvPr id="6" name="任意多边形: 形状 5">
            <a:extLst>
              <a:ext uri="{FF2B5EF4-FFF2-40B4-BE49-F238E27FC236}">
                <a16:creationId xmlns:a16="http://schemas.microsoft.com/office/drawing/2014/main" id="{49767C61-7ACE-4541-9BA2-8D8FD0CF32CE}"/>
              </a:ext>
            </a:extLst>
          </xdr:cNvPr>
          <xdr:cNvSpPr/>
        </xdr:nvSpPr>
        <xdr:spPr>
          <a:xfrm>
            <a:off x="11253" y="967"/>
            <a:ext cx="4504" cy="811"/>
          </a:xfrm>
          <a:custGeom>
            <a:avLst/>
            <a:gdLst>
              <a:gd name="connsiteX0" fmla="*/ 127004 w 2868706"/>
              <a:gd name="connsiteY0" fmla="*/ 0 h 519951"/>
              <a:gd name="connsiteX1" fmla="*/ 2741702 w 2868706"/>
              <a:gd name="connsiteY1" fmla="*/ 0 h 519951"/>
              <a:gd name="connsiteX2" fmla="*/ 2868706 w 2868706"/>
              <a:gd name="connsiteY2" fmla="*/ 127004 h 519951"/>
              <a:gd name="connsiteX3" fmla="*/ 2868706 w 2868706"/>
              <a:gd name="connsiteY3" fmla="*/ 519951 h 519951"/>
              <a:gd name="connsiteX4" fmla="*/ 0 w 2868706"/>
              <a:gd name="connsiteY4" fmla="*/ 519951 h 519951"/>
              <a:gd name="connsiteX5" fmla="*/ 0 w 2868706"/>
              <a:gd name="connsiteY5" fmla="*/ 127004 h 519951"/>
              <a:gd name="connsiteX6" fmla="*/ 127004 w 2868706"/>
              <a:gd name="connsiteY6" fmla="*/ 0 h 51995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2868706" h="519951">
                <a:moveTo>
                  <a:pt x="127004" y="0"/>
                </a:moveTo>
                <a:lnTo>
                  <a:pt x="2741702" y="0"/>
                </a:lnTo>
                <a:cubicBezTo>
                  <a:pt x="2811844" y="0"/>
                  <a:pt x="2868706" y="56862"/>
                  <a:pt x="2868706" y="127004"/>
                </a:cubicBezTo>
                <a:lnTo>
                  <a:pt x="2868706" y="519951"/>
                </a:lnTo>
                <a:lnTo>
                  <a:pt x="0" y="519951"/>
                </a:lnTo>
                <a:lnTo>
                  <a:pt x="0" y="127004"/>
                </a:lnTo>
                <a:cubicBezTo>
                  <a:pt x="0" y="56862"/>
                  <a:pt x="56862" y="0"/>
                  <a:pt x="127004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 macro="" textlink="">
        <xdr:nvSpPr>
          <xdr:cNvPr id="7" name="任意多边形: 形状 6">
            <a:extLst>
              <a:ext uri="{FF2B5EF4-FFF2-40B4-BE49-F238E27FC236}">
                <a16:creationId xmlns:a16="http://schemas.microsoft.com/office/drawing/2014/main" id="{B87D5AA4-D3D7-4448-8B54-55B5BEB2967A}"/>
              </a:ext>
            </a:extLst>
          </xdr:cNvPr>
          <xdr:cNvSpPr/>
        </xdr:nvSpPr>
        <xdr:spPr>
          <a:xfrm>
            <a:off x="6433" y="967"/>
            <a:ext cx="5173" cy="811"/>
          </a:xfrm>
          <a:custGeom>
            <a:avLst/>
            <a:gdLst>
              <a:gd name="connsiteX0" fmla="*/ 127004 w 2868706"/>
              <a:gd name="connsiteY0" fmla="*/ 0 h 519951"/>
              <a:gd name="connsiteX1" fmla="*/ 2741702 w 2868706"/>
              <a:gd name="connsiteY1" fmla="*/ 0 h 519951"/>
              <a:gd name="connsiteX2" fmla="*/ 2868706 w 2868706"/>
              <a:gd name="connsiteY2" fmla="*/ 127004 h 519951"/>
              <a:gd name="connsiteX3" fmla="*/ 2868706 w 2868706"/>
              <a:gd name="connsiteY3" fmla="*/ 519951 h 519951"/>
              <a:gd name="connsiteX4" fmla="*/ 0 w 2868706"/>
              <a:gd name="connsiteY4" fmla="*/ 519951 h 519951"/>
              <a:gd name="connsiteX5" fmla="*/ 0 w 2868706"/>
              <a:gd name="connsiteY5" fmla="*/ 127004 h 519951"/>
              <a:gd name="connsiteX6" fmla="*/ 127004 w 2868706"/>
              <a:gd name="connsiteY6" fmla="*/ 0 h 51995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2868706" h="519951">
                <a:moveTo>
                  <a:pt x="127004" y="0"/>
                </a:moveTo>
                <a:lnTo>
                  <a:pt x="2741702" y="0"/>
                </a:lnTo>
                <a:cubicBezTo>
                  <a:pt x="2811844" y="0"/>
                  <a:pt x="2868706" y="56862"/>
                  <a:pt x="2868706" y="127004"/>
                </a:cubicBezTo>
                <a:lnTo>
                  <a:pt x="2868706" y="519951"/>
                </a:lnTo>
                <a:lnTo>
                  <a:pt x="0" y="519951"/>
                </a:lnTo>
                <a:lnTo>
                  <a:pt x="0" y="127004"/>
                </a:lnTo>
                <a:cubicBezTo>
                  <a:pt x="0" y="56862"/>
                  <a:pt x="56862" y="0"/>
                  <a:pt x="127004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 macro="" textlink="">
        <xdr:nvSpPr>
          <xdr:cNvPr id="8" name="任意多边形: 形状 7">
            <a:extLst>
              <a:ext uri="{FF2B5EF4-FFF2-40B4-BE49-F238E27FC236}">
                <a16:creationId xmlns:a16="http://schemas.microsoft.com/office/drawing/2014/main" id="{B9515730-C30C-4136-BC7D-E7EF5D2EEA4F}"/>
              </a:ext>
            </a:extLst>
          </xdr:cNvPr>
          <xdr:cNvSpPr/>
        </xdr:nvSpPr>
        <xdr:spPr>
          <a:xfrm>
            <a:off x="1612" y="967"/>
            <a:ext cx="4501" cy="811"/>
          </a:xfrm>
          <a:custGeom>
            <a:avLst/>
            <a:gdLst>
              <a:gd name="connsiteX0" fmla="*/ 127004 w 2868706"/>
              <a:gd name="connsiteY0" fmla="*/ 0 h 519951"/>
              <a:gd name="connsiteX1" fmla="*/ 2741702 w 2868706"/>
              <a:gd name="connsiteY1" fmla="*/ 0 h 519951"/>
              <a:gd name="connsiteX2" fmla="*/ 2868706 w 2868706"/>
              <a:gd name="connsiteY2" fmla="*/ 127004 h 519951"/>
              <a:gd name="connsiteX3" fmla="*/ 2868706 w 2868706"/>
              <a:gd name="connsiteY3" fmla="*/ 519951 h 519951"/>
              <a:gd name="connsiteX4" fmla="*/ 0 w 2868706"/>
              <a:gd name="connsiteY4" fmla="*/ 519951 h 519951"/>
              <a:gd name="connsiteX5" fmla="*/ 0 w 2868706"/>
              <a:gd name="connsiteY5" fmla="*/ 127004 h 519951"/>
              <a:gd name="connsiteX6" fmla="*/ 127004 w 2868706"/>
              <a:gd name="connsiteY6" fmla="*/ 0 h 51995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2868706" h="519951">
                <a:moveTo>
                  <a:pt x="127004" y="0"/>
                </a:moveTo>
                <a:lnTo>
                  <a:pt x="2741702" y="0"/>
                </a:lnTo>
                <a:cubicBezTo>
                  <a:pt x="2811844" y="0"/>
                  <a:pt x="2868706" y="56862"/>
                  <a:pt x="2868706" y="127004"/>
                </a:cubicBezTo>
                <a:lnTo>
                  <a:pt x="2868706" y="519951"/>
                </a:lnTo>
                <a:lnTo>
                  <a:pt x="0" y="519951"/>
                </a:lnTo>
                <a:lnTo>
                  <a:pt x="0" y="127004"/>
                </a:lnTo>
                <a:cubicBezTo>
                  <a:pt x="0" y="56862"/>
                  <a:pt x="56862" y="0"/>
                  <a:pt x="127004" y="0"/>
                </a:cubicBezTo>
                <a:close/>
              </a:path>
            </a:pathLst>
          </a:cu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5</xdr:col>
      <xdr:colOff>131448</xdr:colOff>
      <xdr:row>21</xdr:row>
      <xdr:rowOff>108093</xdr:rowOff>
    </xdr:from>
    <xdr:to>
      <xdr:col>14</xdr:col>
      <xdr:colOff>419024</xdr:colOff>
      <xdr:row>30</xdr:row>
      <xdr:rowOff>136965</xdr:rowOff>
    </xdr:to>
    <xdr:sp macro="" textlink="">
      <xdr:nvSpPr>
        <xdr:cNvPr id="9" name="矩形: 圆角 8">
          <a:extLst>
            <a:ext uri="{FF2B5EF4-FFF2-40B4-BE49-F238E27FC236}">
              <a16:creationId xmlns:a16="http://schemas.microsoft.com/office/drawing/2014/main" id="{51A55071-BBDF-488E-8259-5622F50329B0}"/>
            </a:ext>
          </a:extLst>
        </xdr:cNvPr>
        <xdr:cNvSpPr/>
      </xdr:nvSpPr>
      <xdr:spPr>
        <a:xfrm>
          <a:off x="3568731" y="3934658"/>
          <a:ext cx="6474684" cy="1668829"/>
        </a:xfrm>
        <a:prstGeom prst="roundRect">
          <a:avLst>
            <a:gd name="adj" fmla="val 9204"/>
          </a:avLst>
        </a:prstGeom>
        <a:solidFill>
          <a:schemeClr val="bg1"/>
        </a:solidFill>
        <a:ln>
          <a:noFill/>
        </a:ln>
        <a:effectLst>
          <a:glow>
            <a:schemeClr val="bg1">
              <a:lumMod val="95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zh-CN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120243</xdr:colOff>
      <xdr:row>11</xdr:row>
      <xdr:rowOff>90050</xdr:rowOff>
    </xdr:from>
    <xdr:to>
      <xdr:col>14</xdr:col>
      <xdr:colOff>395007</xdr:colOff>
      <xdr:row>20</xdr:row>
      <xdr:rowOff>119341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1DCC4336-5351-49D6-8DAD-C33806FD9C41}"/>
            </a:ext>
          </a:extLst>
        </xdr:cNvPr>
        <xdr:cNvGrpSpPr/>
      </xdr:nvGrpSpPr>
      <xdr:grpSpPr>
        <a:xfrm>
          <a:off x="3557526" y="2094441"/>
          <a:ext cx="6461872" cy="1669248"/>
          <a:chOff x="4111438" y="3939989"/>
          <a:chExt cx="5940238" cy="1501588"/>
        </a:xfrm>
      </xdr:grpSpPr>
      <xdr:sp macro="" textlink="">
        <xdr:nvSpPr>
          <xdr:cNvPr id="11" name="矩形: 圆角 10">
            <a:extLst>
              <a:ext uri="{FF2B5EF4-FFF2-40B4-BE49-F238E27FC236}">
                <a16:creationId xmlns:a16="http://schemas.microsoft.com/office/drawing/2014/main" id="{64A6EB61-80A3-436B-AF66-B08A10F712A5}"/>
              </a:ext>
            </a:extLst>
          </xdr:cNvPr>
          <xdr:cNvSpPr/>
        </xdr:nvSpPr>
        <xdr:spPr>
          <a:xfrm>
            <a:off x="4111438" y="3939989"/>
            <a:ext cx="2868706" cy="1501588"/>
          </a:xfrm>
          <a:prstGeom prst="roundRect">
            <a:avLst>
              <a:gd name="adj" fmla="val 8458"/>
            </a:avLst>
          </a:prstGeom>
          <a:solidFill>
            <a:schemeClr val="bg1"/>
          </a:solidFill>
          <a:ln>
            <a:noFill/>
          </a:ln>
          <a:effectLst>
            <a:glow>
              <a:schemeClr val="bg1">
                <a:lumMod val="95000"/>
              </a:schemeClr>
            </a:glow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2" name="矩形: 圆角 11">
            <a:extLst>
              <a:ext uri="{FF2B5EF4-FFF2-40B4-BE49-F238E27FC236}">
                <a16:creationId xmlns:a16="http://schemas.microsoft.com/office/drawing/2014/main" id="{C594B535-AF23-44E9-A152-40FFD0C645D2}"/>
              </a:ext>
            </a:extLst>
          </xdr:cNvPr>
          <xdr:cNvSpPr/>
        </xdr:nvSpPr>
        <xdr:spPr>
          <a:xfrm>
            <a:off x="7182970" y="3939989"/>
            <a:ext cx="2868706" cy="1501588"/>
          </a:xfrm>
          <a:prstGeom prst="roundRect">
            <a:avLst>
              <a:gd name="adj" fmla="val 8458"/>
            </a:avLst>
          </a:prstGeom>
          <a:solidFill>
            <a:schemeClr val="bg1"/>
          </a:solidFill>
          <a:ln>
            <a:noFill/>
          </a:ln>
          <a:effectLst>
            <a:glow>
              <a:schemeClr val="bg1">
                <a:lumMod val="95000"/>
              </a:schemeClr>
            </a:glow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0</xdr:col>
      <xdr:colOff>209550</xdr:colOff>
      <xdr:row>11</xdr:row>
      <xdr:rowOff>131668</xdr:rowOff>
    </xdr:from>
    <xdr:to>
      <xdr:col>4</xdr:col>
      <xdr:colOff>578740</xdr:colOff>
      <xdr:row>15</xdr:row>
      <xdr:rowOff>159686</xdr:rowOff>
    </xdr:to>
    <xdr:sp macro="" textlink="">
      <xdr:nvSpPr>
        <xdr:cNvPr id="13" name="矩形: 圆角 12">
          <a:extLst>
            <a:ext uri="{FF2B5EF4-FFF2-40B4-BE49-F238E27FC236}">
              <a16:creationId xmlns:a16="http://schemas.microsoft.com/office/drawing/2014/main" id="{8C520E3D-C180-4BA1-A63E-F35DE99D2FDA}"/>
            </a:ext>
          </a:extLst>
        </xdr:cNvPr>
        <xdr:cNvSpPr/>
      </xdr:nvSpPr>
      <xdr:spPr>
        <a:xfrm>
          <a:off x="209550" y="2122393"/>
          <a:ext cx="3112390" cy="751918"/>
        </a:xfrm>
        <a:prstGeom prst="roundRect">
          <a:avLst>
            <a:gd name="adj" fmla="val 17604"/>
          </a:avLst>
        </a:prstGeom>
        <a:solidFill>
          <a:schemeClr val="bg1"/>
        </a:solidFill>
        <a:ln>
          <a:noFill/>
        </a:ln>
        <a:effectLst>
          <a:glow>
            <a:schemeClr val="bg1">
              <a:lumMod val="95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zh-CN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209550</xdr:colOff>
      <xdr:row>16</xdr:row>
      <xdr:rowOff>105336</xdr:rowOff>
    </xdr:from>
    <xdr:to>
      <xdr:col>4</xdr:col>
      <xdr:colOff>578740</xdr:colOff>
      <xdr:row>20</xdr:row>
      <xdr:rowOff>129992</xdr:rowOff>
    </xdr:to>
    <xdr:sp macro="" textlink="">
      <xdr:nvSpPr>
        <xdr:cNvPr id="14" name="矩形: 圆角 13">
          <a:extLst>
            <a:ext uri="{FF2B5EF4-FFF2-40B4-BE49-F238E27FC236}">
              <a16:creationId xmlns:a16="http://schemas.microsoft.com/office/drawing/2014/main" id="{4C2B36B8-748A-4C8F-B53A-CA8DE775E1CB}"/>
            </a:ext>
          </a:extLst>
        </xdr:cNvPr>
        <xdr:cNvSpPr/>
      </xdr:nvSpPr>
      <xdr:spPr>
        <a:xfrm>
          <a:off x="209550" y="3020814"/>
          <a:ext cx="3119016" cy="753526"/>
        </a:xfrm>
        <a:prstGeom prst="roundRect">
          <a:avLst>
            <a:gd name="adj" fmla="val 19129"/>
          </a:avLst>
        </a:prstGeom>
        <a:solidFill>
          <a:schemeClr val="bg1"/>
        </a:solidFill>
        <a:ln>
          <a:noFill/>
        </a:ln>
        <a:effectLst>
          <a:glow>
            <a:schemeClr val="bg1">
              <a:lumMod val="95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zh-CN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135834</xdr:colOff>
      <xdr:row>21</xdr:row>
      <xdr:rowOff>114299</xdr:rowOff>
    </xdr:from>
    <xdr:to>
      <xdr:col>14</xdr:col>
      <xdr:colOff>421584</xdr:colOff>
      <xdr:row>30</xdr:row>
      <xdr:rowOff>171449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60DFCC68-724B-43D2-B6E4-875CEC3A1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11</xdr:row>
      <xdr:rowOff>86967</xdr:rowOff>
    </xdr:from>
    <xdr:to>
      <xdr:col>9</xdr:col>
      <xdr:colOff>504825</xdr:colOff>
      <xdr:row>21</xdr:row>
      <xdr:rowOff>153865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51BE6DB1-6C63-4794-A19E-70E81FBB26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219074</xdr:colOff>
      <xdr:row>2</xdr:row>
      <xdr:rowOff>152401</xdr:rowOff>
    </xdr:from>
    <xdr:to>
      <xdr:col>4</xdr:col>
      <xdr:colOff>590549</xdr:colOff>
      <xdr:row>10</xdr:row>
      <xdr:rowOff>146825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69E8B9E-5767-492C-A9B0-264660724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38482</xdr:colOff>
      <xdr:row>11</xdr:row>
      <xdr:rowOff>79130</xdr:rowOff>
    </xdr:from>
    <xdr:to>
      <xdr:col>14</xdr:col>
      <xdr:colOff>409957</xdr:colOff>
      <xdr:row>20</xdr:row>
      <xdr:rowOff>131883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D62BF1A3-BE8C-4E6C-90A1-9FAF7D4A2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209550</xdr:colOff>
      <xdr:row>21</xdr:row>
      <xdr:rowOff>107674</xdr:rowOff>
    </xdr:from>
    <xdr:to>
      <xdr:col>4</xdr:col>
      <xdr:colOff>580342</xdr:colOff>
      <xdr:row>30</xdr:row>
      <xdr:rowOff>136965</xdr:rowOff>
    </xdr:to>
    <xdr:sp macro="" textlink="">
      <xdr:nvSpPr>
        <xdr:cNvPr id="25" name="矩形: 圆角 24">
          <a:extLst>
            <a:ext uri="{FF2B5EF4-FFF2-40B4-BE49-F238E27FC236}">
              <a16:creationId xmlns:a16="http://schemas.microsoft.com/office/drawing/2014/main" id="{2E3DAD57-6793-4238-8238-558B1BF4BF84}"/>
            </a:ext>
          </a:extLst>
        </xdr:cNvPr>
        <xdr:cNvSpPr/>
      </xdr:nvSpPr>
      <xdr:spPr>
        <a:xfrm>
          <a:off x="209550" y="3908149"/>
          <a:ext cx="3113992" cy="1658066"/>
        </a:xfrm>
        <a:prstGeom prst="roundRect">
          <a:avLst>
            <a:gd name="adj" fmla="val 8458"/>
          </a:avLst>
        </a:prstGeom>
        <a:solidFill>
          <a:schemeClr val="bg1"/>
        </a:solidFill>
        <a:ln>
          <a:noFill/>
        </a:ln>
        <a:effectLst>
          <a:glow>
            <a:schemeClr val="bg1">
              <a:lumMod val="95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zh-CN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182219</xdr:colOff>
      <xdr:row>21</xdr:row>
      <xdr:rowOff>117230</xdr:rowOff>
    </xdr:from>
    <xdr:to>
      <xdr:col>4</xdr:col>
      <xdr:colOff>596349</xdr:colOff>
      <xdr:row>30</xdr:row>
      <xdr:rowOff>132522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F9EE299A-EA09-486D-848D-82B549233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528910</xdr:colOff>
      <xdr:row>13</xdr:row>
      <xdr:rowOff>84163</xdr:rowOff>
    </xdr:from>
    <xdr:to>
      <xdr:col>4</xdr:col>
      <xdr:colOff>316430</xdr:colOff>
      <xdr:row>14</xdr:row>
      <xdr:rowOff>32843</xdr:rowOff>
    </xdr:to>
    <xdr:grpSp>
      <xdr:nvGrpSpPr>
        <xdr:cNvPr id="50" name="组合 49">
          <a:extLst>
            <a:ext uri="{FF2B5EF4-FFF2-40B4-BE49-F238E27FC236}">
              <a16:creationId xmlns:a16="http://schemas.microsoft.com/office/drawing/2014/main" id="{04D1DE7F-A96A-49F6-A643-E93A37C18F93}"/>
            </a:ext>
          </a:extLst>
        </xdr:cNvPr>
        <xdr:cNvGrpSpPr/>
      </xdr:nvGrpSpPr>
      <xdr:grpSpPr>
        <a:xfrm>
          <a:off x="1903823" y="2452989"/>
          <a:ext cx="1162433" cy="130897"/>
          <a:chOff x="2760346" y="5566817"/>
          <a:chExt cx="2900144" cy="328239"/>
        </a:xfrm>
      </xdr:grpSpPr>
      <xdr:sp macro="" textlink="">
        <xdr:nvSpPr>
          <xdr:cNvPr id="75" name="椭圆 74">
            <a:extLst>
              <a:ext uri="{FF2B5EF4-FFF2-40B4-BE49-F238E27FC236}">
                <a16:creationId xmlns:a16="http://schemas.microsoft.com/office/drawing/2014/main" id="{42BA08EF-001C-470D-82C4-00DBE5441FA9}"/>
              </a:ext>
            </a:extLst>
          </xdr:cNvPr>
          <xdr:cNvSpPr/>
        </xdr:nvSpPr>
        <xdr:spPr>
          <a:xfrm>
            <a:off x="2760346" y="5566817"/>
            <a:ext cx="328239" cy="328239"/>
          </a:xfrm>
          <a:prstGeom prst="ellipse">
            <a:avLst/>
          </a:prstGeom>
          <a:solidFill>
            <a:srgbClr val="E1E9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76" name="椭圆 75">
            <a:extLst>
              <a:ext uri="{FF2B5EF4-FFF2-40B4-BE49-F238E27FC236}">
                <a16:creationId xmlns:a16="http://schemas.microsoft.com/office/drawing/2014/main" id="{55742A17-76F1-4D71-B99F-F9ED29171B92}"/>
              </a:ext>
            </a:extLst>
          </xdr:cNvPr>
          <xdr:cNvSpPr/>
        </xdr:nvSpPr>
        <xdr:spPr>
          <a:xfrm>
            <a:off x="2760346" y="5566817"/>
            <a:ext cx="328239" cy="328239"/>
          </a:xfrm>
          <a:prstGeom prst="ellipse">
            <a:avLst/>
          </a:prstGeom>
          <a:gradFill>
            <a:gsLst>
              <a:gs pos="56089">
                <a:srgbClr val="FE7088"/>
              </a:gs>
              <a:gs pos="27300">
                <a:srgbClr val="CB4B7C"/>
              </a:gs>
              <a:gs pos="100000">
                <a:srgbClr val="FE9C80"/>
              </a:gs>
              <a:gs pos="0">
                <a:srgbClr val="6E376E"/>
              </a:gs>
            </a:gsLst>
            <a:lin ang="19020000" scaled="0"/>
          </a:gradFill>
          <a:ln>
            <a:noFill/>
          </a:ln>
          <a:effectLst>
            <a:outerShdw blurRad="50800" dist="38100" dir="13500000" algn="br" rotWithShape="0">
              <a:schemeClr val="bg1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77" name="椭圆 76">
            <a:extLst>
              <a:ext uri="{FF2B5EF4-FFF2-40B4-BE49-F238E27FC236}">
                <a16:creationId xmlns:a16="http://schemas.microsoft.com/office/drawing/2014/main" id="{2480C484-D868-46FF-876C-0E7824DC204D}"/>
              </a:ext>
            </a:extLst>
          </xdr:cNvPr>
          <xdr:cNvSpPr/>
        </xdr:nvSpPr>
        <xdr:spPr>
          <a:xfrm>
            <a:off x="3403323" y="5566817"/>
            <a:ext cx="328239" cy="328239"/>
          </a:xfrm>
          <a:prstGeom prst="ellipse">
            <a:avLst/>
          </a:prstGeom>
          <a:solidFill>
            <a:srgbClr val="E1E9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78" name="椭圆 77">
            <a:extLst>
              <a:ext uri="{FF2B5EF4-FFF2-40B4-BE49-F238E27FC236}">
                <a16:creationId xmlns:a16="http://schemas.microsoft.com/office/drawing/2014/main" id="{11CE4A34-A328-4897-AC76-54B6A45B0466}"/>
              </a:ext>
            </a:extLst>
          </xdr:cNvPr>
          <xdr:cNvSpPr/>
        </xdr:nvSpPr>
        <xdr:spPr>
          <a:xfrm>
            <a:off x="3403323" y="5566817"/>
            <a:ext cx="328239" cy="328239"/>
          </a:xfrm>
          <a:prstGeom prst="ellipse">
            <a:avLst/>
          </a:prstGeom>
          <a:gradFill>
            <a:gsLst>
              <a:gs pos="56089">
                <a:srgbClr val="FE7088"/>
              </a:gs>
              <a:gs pos="27300">
                <a:srgbClr val="CB4B7C"/>
              </a:gs>
              <a:gs pos="100000">
                <a:srgbClr val="FE9C80"/>
              </a:gs>
              <a:gs pos="0">
                <a:srgbClr val="6E376E"/>
              </a:gs>
            </a:gsLst>
            <a:lin ang="19020000" scaled="0"/>
          </a:gradFill>
          <a:ln>
            <a:noFill/>
          </a:ln>
          <a:effectLst>
            <a:outerShdw blurRad="50800" dist="38100" dir="13500000" algn="br" rotWithShape="0">
              <a:schemeClr val="bg1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79" name="椭圆 78">
            <a:extLst>
              <a:ext uri="{FF2B5EF4-FFF2-40B4-BE49-F238E27FC236}">
                <a16:creationId xmlns:a16="http://schemas.microsoft.com/office/drawing/2014/main" id="{E7E8FDEF-B070-415E-B091-77AE37DC4A53}"/>
              </a:ext>
            </a:extLst>
          </xdr:cNvPr>
          <xdr:cNvSpPr/>
        </xdr:nvSpPr>
        <xdr:spPr>
          <a:xfrm>
            <a:off x="4046299" y="5566817"/>
            <a:ext cx="328239" cy="328239"/>
          </a:xfrm>
          <a:prstGeom prst="ellipse">
            <a:avLst/>
          </a:prstGeom>
          <a:solidFill>
            <a:srgbClr val="E1E9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80" name="椭圆 79">
            <a:extLst>
              <a:ext uri="{FF2B5EF4-FFF2-40B4-BE49-F238E27FC236}">
                <a16:creationId xmlns:a16="http://schemas.microsoft.com/office/drawing/2014/main" id="{40727B6F-058D-410F-83CB-667A3C87A871}"/>
              </a:ext>
            </a:extLst>
          </xdr:cNvPr>
          <xdr:cNvSpPr/>
        </xdr:nvSpPr>
        <xdr:spPr>
          <a:xfrm>
            <a:off x="4046299" y="5566817"/>
            <a:ext cx="328239" cy="328239"/>
          </a:xfrm>
          <a:prstGeom prst="ellipse">
            <a:avLst/>
          </a:prstGeom>
          <a:gradFill>
            <a:gsLst>
              <a:gs pos="56089">
                <a:srgbClr val="FE7088"/>
              </a:gs>
              <a:gs pos="27300">
                <a:srgbClr val="CB4B7C"/>
              </a:gs>
              <a:gs pos="100000">
                <a:srgbClr val="FE9C80"/>
              </a:gs>
              <a:gs pos="0">
                <a:srgbClr val="6E376E"/>
              </a:gs>
            </a:gsLst>
            <a:lin ang="19020000" scaled="0"/>
          </a:gradFill>
          <a:ln>
            <a:noFill/>
          </a:ln>
          <a:effectLst>
            <a:outerShdw blurRad="50800" dist="38100" dir="13500000" algn="br" rotWithShape="0">
              <a:schemeClr val="bg1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81" name="椭圆 80">
            <a:extLst>
              <a:ext uri="{FF2B5EF4-FFF2-40B4-BE49-F238E27FC236}">
                <a16:creationId xmlns:a16="http://schemas.microsoft.com/office/drawing/2014/main" id="{DCFBB169-C0E8-41BD-A5BA-A19D80F4BE63}"/>
              </a:ext>
            </a:extLst>
          </xdr:cNvPr>
          <xdr:cNvSpPr/>
        </xdr:nvSpPr>
        <xdr:spPr>
          <a:xfrm>
            <a:off x="4689275" y="5566817"/>
            <a:ext cx="328239" cy="328239"/>
          </a:xfrm>
          <a:prstGeom prst="ellipse">
            <a:avLst/>
          </a:prstGeom>
          <a:solidFill>
            <a:srgbClr val="E1E9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82" name="椭圆 81">
            <a:extLst>
              <a:ext uri="{FF2B5EF4-FFF2-40B4-BE49-F238E27FC236}">
                <a16:creationId xmlns:a16="http://schemas.microsoft.com/office/drawing/2014/main" id="{CBB0D61E-A60C-413A-8D43-3A649C99606D}"/>
              </a:ext>
            </a:extLst>
          </xdr:cNvPr>
          <xdr:cNvSpPr/>
        </xdr:nvSpPr>
        <xdr:spPr>
          <a:xfrm>
            <a:off x="4689275" y="5566817"/>
            <a:ext cx="328239" cy="328239"/>
          </a:xfrm>
          <a:prstGeom prst="ellipse">
            <a:avLst/>
          </a:prstGeom>
          <a:gradFill>
            <a:gsLst>
              <a:gs pos="56089">
                <a:srgbClr val="FE7088"/>
              </a:gs>
              <a:gs pos="27300">
                <a:srgbClr val="CB4B7C"/>
              </a:gs>
              <a:gs pos="100000">
                <a:srgbClr val="FE9C80"/>
              </a:gs>
              <a:gs pos="0">
                <a:srgbClr val="6E376E"/>
              </a:gs>
            </a:gsLst>
            <a:lin ang="19020000" scaled="0"/>
          </a:gradFill>
          <a:ln>
            <a:noFill/>
          </a:ln>
          <a:effectLst>
            <a:outerShdw blurRad="50800" dist="38100" dir="13500000" algn="br" rotWithShape="0">
              <a:schemeClr val="bg1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83" name="椭圆 82">
            <a:extLst>
              <a:ext uri="{FF2B5EF4-FFF2-40B4-BE49-F238E27FC236}">
                <a16:creationId xmlns:a16="http://schemas.microsoft.com/office/drawing/2014/main" id="{FC0F9BD9-24AC-4EA6-97D9-A6961022FB9A}"/>
              </a:ext>
            </a:extLst>
          </xdr:cNvPr>
          <xdr:cNvSpPr/>
        </xdr:nvSpPr>
        <xdr:spPr>
          <a:xfrm>
            <a:off x="5332251" y="5566817"/>
            <a:ext cx="328239" cy="328239"/>
          </a:xfrm>
          <a:prstGeom prst="ellipse">
            <a:avLst/>
          </a:prstGeom>
          <a:solidFill>
            <a:srgbClr val="E1E9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84" name="椭圆 83">
            <a:extLst>
              <a:ext uri="{FF2B5EF4-FFF2-40B4-BE49-F238E27FC236}">
                <a16:creationId xmlns:a16="http://schemas.microsoft.com/office/drawing/2014/main" id="{82FD2895-99CA-447B-91B3-F5BC00E33978}"/>
              </a:ext>
            </a:extLst>
          </xdr:cNvPr>
          <xdr:cNvSpPr/>
        </xdr:nvSpPr>
        <xdr:spPr>
          <a:xfrm>
            <a:off x="5332251" y="5566817"/>
            <a:ext cx="328239" cy="328239"/>
          </a:xfrm>
          <a:prstGeom prst="ellipse">
            <a:avLst/>
          </a:prstGeom>
          <a:solidFill>
            <a:srgbClr val="E1E9F1"/>
          </a:solidFill>
          <a:ln>
            <a:noFill/>
          </a:ln>
          <a:effectLst>
            <a:outerShdw blurRad="50800" dist="38100" dir="13500000" algn="br" rotWithShape="0">
              <a:schemeClr val="bg1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</xdr:grpSp>
    <xdr:clientData/>
  </xdr:twoCellAnchor>
  <xdr:twoCellAnchor>
    <xdr:from>
      <xdr:col>2</xdr:col>
      <xdr:colOff>528910</xdr:colOff>
      <xdr:row>14</xdr:row>
      <xdr:rowOff>131701</xdr:rowOff>
    </xdr:from>
    <xdr:to>
      <xdr:col>4</xdr:col>
      <xdr:colOff>316430</xdr:colOff>
      <xdr:row>15</xdr:row>
      <xdr:rowOff>80381</xdr:rowOff>
    </xdr:to>
    <xdr:grpSp>
      <xdr:nvGrpSpPr>
        <xdr:cNvPr id="51" name="组合 50">
          <a:extLst>
            <a:ext uri="{FF2B5EF4-FFF2-40B4-BE49-F238E27FC236}">
              <a16:creationId xmlns:a16="http://schemas.microsoft.com/office/drawing/2014/main" id="{94DB3019-A0F1-4F85-A9AF-9FE4CA6BF573}"/>
            </a:ext>
          </a:extLst>
        </xdr:cNvPr>
        <xdr:cNvGrpSpPr/>
      </xdr:nvGrpSpPr>
      <xdr:grpSpPr>
        <a:xfrm>
          <a:off x="1903823" y="2682744"/>
          <a:ext cx="1162433" cy="130898"/>
          <a:chOff x="2760346" y="4565897"/>
          <a:chExt cx="2900144" cy="328239"/>
        </a:xfrm>
      </xdr:grpSpPr>
      <xdr:sp macro="" textlink="">
        <xdr:nvSpPr>
          <xdr:cNvPr id="65" name="椭圆 64">
            <a:extLst>
              <a:ext uri="{FF2B5EF4-FFF2-40B4-BE49-F238E27FC236}">
                <a16:creationId xmlns:a16="http://schemas.microsoft.com/office/drawing/2014/main" id="{2D2FB63D-BAF9-4A05-A79F-67FAB53A1D6F}"/>
              </a:ext>
            </a:extLst>
          </xdr:cNvPr>
          <xdr:cNvSpPr/>
        </xdr:nvSpPr>
        <xdr:spPr>
          <a:xfrm>
            <a:off x="2760346" y="4565897"/>
            <a:ext cx="328239" cy="328239"/>
          </a:xfrm>
          <a:prstGeom prst="ellipse">
            <a:avLst/>
          </a:prstGeom>
          <a:solidFill>
            <a:srgbClr val="E1E9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66" name="椭圆 65">
            <a:extLst>
              <a:ext uri="{FF2B5EF4-FFF2-40B4-BE49-F238E27FC236}">
                <a16:creationId xmlns:a16="http://schemas.microsoft.com/office/drawing/2014/main" id="{7584D41D-F0DA-4052-9459-CB663A3D4893}"/>
              </a:ext>
            </a:extLst>
          </xdr:cNvPr>
          <xdr:cNvSpPr/>
        </xdr:nvSpPr>
        <xdr:spPr>
          <a:xfrm>
            <a:off x="2760346" y="4565897"/>
            <a:ext cx="328239" cy="328239"/>
          </a:xfrm>
          <a:prstGeom prst="ellipse">
            <a:avLst/>
          </a:prstGeom>
          <a:gradFill>
            <a:gsLst>
              <a:gs pos="56089">
                <a:srgbClr val="FE7088"/>
              </a:gs>
              <a:gs pos="27300">
                <a:srgbClr val="CB4B7C"/>
              </a:gs>
              <a:gs pos="100000">
                <a:srgbClr val="FE9C80"/>
              </a:gs>
              <a:gs pos="0">
                <a:srgbClr val="6E376E"/>
              </a:gs>
            </a:gsLst>
            <a:lin ang="19020000" scaled="0"/>
          </a:gradFill>
          <a:ln>
            <a:noFill/>
          </a:ln>
          <a:effectLst>
            <a:outerShdw blurRad="50800" dist="38100" dir="13500000" algn="br" rotWithShape="0">
              <a:schemeClr val="bg1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67" name="椭圆 66">
            <a:extLst>
              <a:ext uri="{FF2B5EF4-FFF2-40B4-BE49-F238E27FC236}">
                <a16:creationId xmlns:a16="http://schemas.microsoft.com/office/drawing/2014/main" id="{51DACC3D-392B-4C7B-8624-D0009354044C}"/>
              </a:ext>
            </a:extLst>
          </xdr:cNvPr>
          <xdr:cNvSpPr/>
        </xdr:nvSpPr>
        <xdr:spPr>
          <a:xfrm>
            <a:off x="3403323" y="4565897"/>
            <a:ext cx="328239" cy="328239"/>
          </a:xfrm>
          <a:prstGeom prst="ellipse">
            <a:avLst/>
          </a:prstGeom>
          <a:solidFill>
            <a:srgbClr val="E1E9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68" name="椭圆 67">
            <a:extLst>
              <a:ext uri="{FF2B5EF4-FFF2-40B4-BE49-F238E27FC236}">
                <a16:creationId xmlns:a16="http://schemas.microsoft.com/office/drawing/2014/main" id="{B1B2B6EB-045C-4B9C-B3B6-146A7A99A000}"/>
              </a:ext>
            </a:extLst>
          </xdr:cNvPr>
          <xdr:cNvSpPr/>
        </xdr:nvSpPr>
        <xdr:spPr>
          <a:xfrm>
            <a:off x="3403323" y="4565897"/>
            <a:ext cx="328239" cy="328239"/>
          </a:xfrm>
          <a:prstGeom prst="ellipse">
            <a:avLst/>
          </a:prstGeom>
          <a:gradFill>
            <a:gsLst>
              <a:gs pos="56089">
                <a:srgbClr val="FE7088"/>
              </a:gs>
              <a:gs pos="27300">
                <a:srgbClr val="CB4B7C"/>
              </a:gs>
              <a:gs pos="100000">
                <a:srgbClr val="FE9C80"/>
              </a:gs>
              <a:gs pos="0">
                <a:srgbClr val="6E376E"/>
              </a:gs>
            </a:gsLst>
            <a:lin ang="19020000" scaled="0"/>
          </a:gradFill>
          <a:ln>
            <a:noFill/>
          </a:ln>
          <a:effectLst>
            <a:outerShdw blurRad="50800" dist="38100" dir="13500000" algn="br" rotWithShape="0">
              <a:schemeClr val="bg1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69" name="椭圆 68">
            <a:extLst>
              <a:ext uri="{FF2B5EF4-FFF2-40B4-BE49-F238E27FC236}">
                <a16:creationId xmlns:a16="http://schemas.microsoft.com/office/drawing/2014/main" id="{DFC7283B-117A-4AEC-944C-0615EEC26395}"/>
              </a:ext>
            </a:extLst>
          </xdr:cNvPr>
          <xdr:cNvSpPr/>
        </xdr:nvSpPr>
        <xdr:spPr>
          <a:xfrm>
            <a:off x="4046299" y="4565897"/>
            <a:ext cx="328239" cy="328239"/>
          </a:xfrm>
          <a:prstGeom prst="ellipse">
            <a:avLst/>
          </a:prstGeom>
          <a:solidFill>
            <a:srgbClr val="E1E9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70" name="椭圆 69">
            <a:extLst>
              <a:ext uri="{FF2B5EF4-FFF2-40B4-BE49-F238E27FC236}">
                <a16:creationId xmlns:a16="http://schemas.microsoft.com/office/drawing/2014/main" id="{4D0CF237-C78C-414B-93E7-5C5C1142970D}"/>
              </a:ext>
            </a:extLst>
          </xdr:cNvPr>
          <xdr:cNvSpPr/>
        </xdr:nvSpPr>
        <xdr:spPr>
          <a:xfrm>
            <a:off x="4046299" y="4565897"/>
            <a:ext cx="328239" cy="328239"/>
          </a:xfrm>
          <a:prstGeom prst="ellipse">
            <a:avLst/>
          </a:prstGeom>
          <a:gradFill>
            <a:gsLst>
              <a:gs pos="56089">
                <a:srgbClr val="FE7088"/>
              </a:gs>
              <a:gs pos="27300">
                <a:srgbClr val="CB4B7C"/>
              </a:gs>
              <a:gs pos="100000">
                <a:srgbClr val="FE9C80"/>
              </a:gs>
              <a:gs pos="0">
                <a:srgbClr val="6E376E"/>
              </a:gs>
            </a:gsLst>
            <a:lin ang="19020000" scaled="0"/>
          </a:gradFill>
          <a:ln>
            <a:noFill/>
          </a:ln>
          <a:effectLst>
            <a:outerShdw blurRad="50800" dist="38100" dir="13500000" algn="br" rotWithShape="0">
              <a:schemeClr val="bg1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71" name="椭圆 70">
            <a:extLst>
              <a:ext uri="{FF2B5EF4-FFF2-40B4-BE49-F238E27FC236}">
                <a16:creationId xmlns:a16="http://schemas.microsoft.com/office/drawing/2014/main" id="{9546F628-4798-4DD7-B8BE-EBBB68D668A4}"/>
              </a:ext>
            </a:extLst>
          </xdr:cNvPr>
          <xdr:cNvSpPr/>
        </xdr:nvSpPr>
        <xdr:spPr>
          <a:xfrm>
            <a:off x="4689275" y="4565897"/>
            <a:ext cx="328239" cy="328239"/>
          </a:xfrm>
          <a:prstGeom prst="ellipse">
            <a:avLst/>
          </a:prstGeom>
          <a:solidFill>
            <a:srgbClr val="E1E9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72" name="椭圆 71">
            <a:extLst>
              <a:ext uri="{FF2B5EF4-FFF2-40B4-BE49-F238E27FC236}">
                <a16:creationId xmlns:a16="http://schemas.microsoft.com/office/drawing/2014/main" id="{08EF939D-47FB-4F8F-AF16-A1726745BD86}"/>
              </a:ext>
            </a:extLst>
          </xdr:cNvPr>
          <xdr:cNvSpPr/>
        </xdr:nvSpPr>
        <xdr:spPr>
          <a:xfrm>
            <a:off x="4689275" y="4565897"/>
            <a:ext cx="328239" cy="328239"/>
          </a:xfrm>
          <a:prstGeom prst="ellipse">
            <a:avLst/>
          </a:prstGeom>
          <a:solidFill>
            <a:srgbClr val="E1E9F1"/>
          </a:solidFill>
          <a:ln>
            <a:noFill/>
          </a:ln>
          <a:effectLst>
            <a:outerShdw blurRad="50800" dist="38100" dir="13500000" algn="br" rotWithShape="0">
              <a:schemeClr val="bg1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73" name="椭圆 72">
            <a:extLst>
              <a:ext uri="{FF2B5EF4-FFF2-40B4-BE49-F238E27FC236}">
                <a16:creationId xmlns:a16="http://schemas.microsoft.com/office/drawing/2014/main" id="{52295A0B-9ADF-4900-AE16-E898C27FA604}"/>
              </a:ext>
            </a:extLst>
          </xdr:cNvPr>
          <xdr:cNvSpPr/>
        </xdr:nvSpPr>
        <xdr:spPr>
          <a:xfrm>
            <a:off x="5332251" y="4565897"/>
            <a:ext cx="328239" cy="328239"/>
          </a:xfrm>
          <a:prstGeom prst="ellipse">
            <a:avLst/>
          </a:prstGeom>
          <a:solidFill>
            <a:srgbClr val="E1E9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74" name="椭圆 73">
            <a:extLst>
              <a:ext uri="{FF2B5EF4-FFF2-40B4-BE49-F238E27FC236}">
                <a16:creationId xmlns:a16="http://schemas.microsoft.com/office/drawing/2014/main" id="{3685C7CF-BC33-468D-AC27-43C64BA3B4F8}"/>
              </a:ext>
            </a:extLst>
          </xdr:cNvPr>
          <xdr:cNvSpPr/>
        </xdr:nvSpPr>
        <xdr:spPr>
          <a:xfrm>
            <a:off x="5332251" y="4565897"/>
            <a:ext cx="328239" cy="328239"/>
          </a:xfrm>
          <a:prstGeom prst="ellipse">
            <a:avLst/>
          </a:prstGeom>
          <a:solidFill>
            <a:srgbClr val="E1E9F1"/>
          </a:solidFill>
          <a:ln>
            <a:noFill/>
          </a:ln>
          <a:effectLst>
            <a:outerShdw blurRad="50800" dist="38100" dir="13500000" algn="br" rotWithShape="0">
              <a:schemeClr val="bg1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</xdr:grpSp>
    <xdr:clientData/>
  </xdr:twoCellAnchor>
  <xdr:twoCellAnchor>
    <xdr:from>
      <xdr:col>2</xdr:col>
      <xdr:colOff>522957</xdr:colOff>
      <xdr:row>12</xdr:row>
      <xdr:rowOff>36625</xdr:rowOff>
    </xdr:from>
    <xdr:to>
      <xdr:col>4</xdr:col>
      <xdr:colOff>310477</xdr:colOff>
      <xdr:row>12</xdr:row>
      <xdr:rowOff>168478</xdr:rowOff>
    </xdr:to>
    <xdr:grpSp>
      <xdr:nvGrpSpPr>
        <xdr:cNvPr id="52" name="组合 51">
          <a:extLst>
            <a:ext uri="{FF2B5EF4-FFF2-40B4-BE49-F238E27FC236}">
              <a16:creationId xmlns:a16="http://schemas.microsoft.com/office/drawing/2014/main" id="{A89ACC9C-BCEE-4559-A375-A3B13B67522C}"/>
            </a:ext>
          </a:extLst>
        </xdr:cNvPr>
        <xdr:cNvGrpSpPr/>
      </xdr:nvGrpSpPr>
      <xdr:grpSpPr>
        <a:xfrm>
          <a:off x="1897870" y="2223234"/>
          <a:ext cx="1162433" cy="131853"/>
          <a:chOff x="2777546" y="6239498"/>
          <a:chExt cx="2900144" cy="328239"/>
        </a:xfrm>
      </xdr:grpSpPr>
      <xdr:sp macro="" textlink="">
        <xdr:nvSpPr>
          <xdr:cNvPr id="53" name="椭圆 52">
            <a:extLst>
              <a:ext uri="{FF2B5EF4-FFF2-40B4-BE49-F238E27FC236}">
                <a16:creationId xmlns:a16="http://schemas.microsoft.com/office/drawing/2014/main" id="{08FA2BEF-6CEF-406C-974A-C19EEA3C51A1}"/>
              </a:ext>
            </a:extLst>
          </xdr:cNvPr>
          <xdr:cNvSpPr/>
        </xdr:nvSpPr>
        <xdr:spPr>
          <a:xfrm>
            <a:off x="2777546" y="6239498"/>
            <a:ext cx="328239" cy="328239"/>
          </a:xfrm>
          <a:prstGeom prst="ellipse">
            <a:avLst/>
          </a:prstGeom>
          <a:solidFill>
            <a:srgbClr val="E1E9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54" name="椭圆 53">
            <a:extLst>
              <a:ext uri="{FF2B5EF4-FFF2-40B4-BE49-F238E27FC236}">
                <a16:creationId xmlns:a16="http://schemas.microsoft.com/office/drawing/2014/main" id="{CC8AE275-CD17-4C36-AFD3-57D772BB6B72}"/>
              </a:ext>
            </a:extLst>
          </xdr:cNvPr>
          <xdr:cNvSpPr/>
        </xdr:nvSpPr>
        <xdr:spPr>
          <a:xfrm>
            <a:off x="2777546" y="6239498"/>
            <a:ext cx="328239" cy="328239"/>
          </a:xfrm>
          <a:prstGeom prst="ellipse">
            <a:avLst/>
          </a:prstGeom>
          <a:gradFill>
            <a:gsLst>
              <a:gs pos="56089">
                <a:srgbClr val="FE7088"/>
              </a:gs>
              <a:gs pos="27300">
                <a:srgbClr val="CB4B7C"/>
              </a:gs>
              <a:gs pos="100000">
                <a:srgbClr val="FE9C80"/>
              </a:gs>
              <a:gs pos="0">
                <a:srgbClr val="6E376E"/>
              </a:gs>
            </a:gsLst>
            <a:lin ang="19020000" scaled="0"/>
          </a:gradFill>
          <a:ln>
            <a:noFill/>
          </a:ln>
          <a:effectLst>
            <a:outerShdw blurRad="50800" dist="38100" dir="13500000" algn="br" rotWithShape="0">
              <a:schemeClr val="bg1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55" name="椭圆 54">
            <a:extLst>
              <a:ext uri="{FF2B5EF4-FFF2-40B4-BE49-F238E27FC236}">
                <a16:creationId xmlns:a16="http://schemas.microsoft.com/office/drawing/2014/main" id="{7DF6F0B9-6FB6-4AA3-B0E0-890FC8A8463E}"/>
              </a:ext>
            </a:extLst>
          </xdr:cNvPr>
          <xdr:cNvSpPr/>
        </xdr:nvSpPr>
        <xdr:spPr>
          <a:xfrm>
            <a:off x="3420523" y="6239498"/>
            <a:ext cx="328239" cy="328239"/>
          </a:xfrm>
          <a:prstGeom prst="ellipse">
            <a:avLst/>
          </a:prstGeom>
          <a:solidFill>
            <a:srgbClr val="E1E9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56" name="椭圆 55">
            <a:extLst>
              <a:ext uri="{FF2B5EF4-FFF2-40B4-BE49-F238E27FC236}">
                <a16:creationId xmlns:a16="http://schemas.microsoft.com/office/drawing/2014/main" id="{E02C6527-37D1-4449-8F13-ADD89148473B}"/>
              </a:ext>
            </a:extLst>
          </xdr:cNvPr>
          <xdr:cNvSpPr/>
        </xdr:nvSpPr>
        <xdr:spPr>
          <a:xfrm>
            <a:off x="3420523" y="6239498"/>
            <a:ext cx="328239" cy="328239"/>
          </a:xfrm>
          <a:prstGeom prst="ellipse">
            <a:avLst/>
          </a:prstGeom>
          <a:gradFill>
            <a:gsLst>
              <a:gs pos="56089">
                <a:srgbClr val="FE7088"/>
              </a:gs>
              <a:gs pos="27300">
                <a:srgbClr val="CB4B7C"/>
              </a:gs>
              <a:gs pos="100000">
                <a:srgbClr val="FE9C80"/>
              </a:gs>
              <a:gs pos="0">
                <a:srgbClr val="6E376E"/>
              </a:gs>
            </a:gsLst>
            <a:lin ang="19020000" scaled="0"/>
          </a:gradFill>
          <a:ln>
            <a:noFill/>
          </a:ln>
          <a:effectLst>
            <a:outerShdw blurRad="50800" dist="38100" dir="13500000" algn="br" rotWithShape="0">
              <a:schemeClr val="bg1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57" name="椭圆 56">
            <a:extLst>
              <a:ext uri="{FF2B5EF4-FFF2-40B4-BE49-F238E27FC236}">
                <a16:creationId xmlns:a16="http://schemas.microsoft.com/office/drawing/2014/main" id="{E9CFF93E-22E0-4D11-9F36-7A2565CBB511}"/>
              </a:ext>
            </a:extLst>
          </xdr:cNvPr>
          <xdr:cNvSpPr/>
        </xdr:nvSpPr>
        <xdr:spPr>
          <a:xfrm>
            <a:off x="4063499" y="6239498"/>
            <a:ext cx="328239" cy="328239"/>
          </a:xfrm>
          <a:prstGeom prst="ellipse">
            <a:avLst/>
          </a:prstGeom>
          <a:solidFill>
            <a:srgbClr val="E1E9F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sp macro="" textlink="">
        <xdr:nvSpPr>
          <xdr:cNvPr id="58" name="椭圆 57">
            <a:extLst>
              <a:ext uri="{FF2B5EF4-FFF2-40B4-BE49-F238E27FC236}">
                <a16:creationId xmlns:a16="http://schemas.microsoft.com/office/drawing/2014/main" id="{2410BA72-2A87-4B65-99DF-84E3C798CB4D}"/>
              </a:ext>
            </a:extLst>
          </xdr:cNvPr>
          <xdr:cNvSpPr/>
        </xdr:nvSpPr>
        <xdr:spPr>
          <a:xfrm>
            <a:off x="4063499" y="6239498"/>
            <a:ext cx="328239" cy="328239"/>
          </a:xfrm>
          <a:prstGeom prst="ellipse">
            <a:avLst/>
          </a:prstGeom>
          <a:gradFill>
            <a:gsLst>
              <a:gs pos="56089">
                <a:srgbClr val="FE7088"/>
              </a:gs>
              <a:gs pos="27300">
                <a:srgbClr val="CB4B7C"/>
              </a:gs>
              <a:gs pos="100000">
                <a:srgbClr val="FE9C80"/>
              </a:gs>
              <a:gs pos="0">
                <a:srgbClr val="6E376E"/>
              </a:gs>
            </a:gsLst>
            <a:lin ang="19020000" scaled="0"/>
          </a:gradFill>
          <a:ln>
            <a:noFill/>
          </a:ln>
          <a:effectLst>
            <a:outerShdw blurRad="50800" dist="38100" dir="13500000" algn="br" rotWithShape="0">
              <a:schemeClr val="bg1">
                <a:alpha val="40000"/>
              </a:scheme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zh-CN" altLang="en-US" sz="36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alibri" panose="020F0502020204030204"/>
              <a:ea typeface="宋体" panose="02010600030101010101" pitchFamily="2" charset="-122"/>
              <a:cs typeface="+mn-cs"/>
            </a:endParaRPr>
          </a:p>
        </xdr:txBody>
      </xdr:sp>
      <xdr:grpSp>
        <xdr:nvGrpSpPr>
          <xdr:cNvPr id="59" name="组合 58">
            <a:extLst>
              <a:ext uri="{FF2B5EF4-FFF2-40B4-BE49-F238E27FC236}">
                <a16:creationId xmlns:a16="http://schemas.microsoft.com/office/drawing/2014/main" id="{5304AB84-EFB3-4DCC-B7E0-65F28E716067}"/>
              </a:ext>
            </a:extLst>
          </xdr:cNvPr>
          <xdr:cNvGrpSpPr/>
        </xdr:nvGrpSpPr>
        <xdr:grpSpPr>
          <a:xfrm>
            <a:off x="4706475" y="6239498"/>
            <a:ext cx="328239" cy="328239"/>
            <a:chOff x="4706475" y="6239498"/>
            <a:chExt cx="328239" cy="328239"/>
          </a:xfrm>
        </xdr:grpSpPr>
        <xdr:sp macro="" textlink="">
          <xdr:nvSpPr>
            <xdr:cNvPr id="63" name="椭圆 62">
              <a:extLst>
                <a:ext uri="{FF2B5EF4-FFF2-40B4-BE49-F238E27FC236}">
                  <a16:creationId xmlns:a16="http://schemas.microsoft.com/office/drawing/2014/main" id="{8447D3C3-6AC2-441F-ABE6-52A90FC79FB4}"/>
                </a:ext>
              </a:extLst>
            </xdr:cNvPr>
            <xdr:cNvSpPr/>
          </xdr:nvSpPr>
          <xdr:spPr>
            <a:xfrm>
              <a:off x="4706475" y="6239498"/>
              <a:ext cx="328239" cy="328239"/>
            </a:xfrm>
            <a:prstGeom prst="ellipse">
              <a:avLst/>
            </a:prstGeom>
            <a:solidFill>
              <a:srgbClr val="E1E9F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36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Calibri" panose="020F0502020204030204"/>
                <a:ea typeface="宋体" panose="02010600030101010101" pitchFamily="2" charset="-122"/>
                <a:cs typeface="+mn-cs"/>
              </a:endParaRPr>
            </a:p>
          </xdr:txBody>
        </xdr:sp>
        <xdr:sp macro="" textlink="">
          <xdr:nvSpPr>
            <xdr:cNvPr id="64" name="椭圆 63">
              <a:extLst>
                <a:ext uri="{FF2B5EF4-FFF2-40B4-BE49-F238E27FC236}">
                  <a16:creationId xmlns:a16="http://schemas.microsoft.com/office/drawing/2014/main" id="{B7323556-3A09-40B6-A367-9D97B6396E85}"/>
                </a:ext>
              </a:extLst>
            </xdr:cNvPr>
            <xdr:cNvSpPr/>
          </xdr:nvSpPr>
          <xdr:spPr>
            <a:xfrm>
              <a:off x="4706475" y="6239498"/>
              <a:ext cx="328239" cy="328239"/>
            </a:xfrm>
            <a:prstGeom prst="ellipse">
              <a:avLst/>
            </a:prstGeom>
            <a:gradFill>
              <a:gsLst>
                <a:gs pos="56089">
                  <a:srgbClr val="FE7088"/>
                </a:gs>
                <a:gs pos="27300">
                  <a:srgbClr val="CB4B7C"/>
                </a:gs>
                <a:gs pos="100000">
                  <a:srgbClr val="FE9C80"/>
                </a:gs>
                <a:gs pos="0">
                  <a:srgbClr val="6E376E"/>
                </a:gs>
              </a:gsLst>
              <a:lin ang="19020000" scaled="0"/>
            </a:gradFill>
            <a:ln>
              <a:noFill/>
            </a:ln>
            <a:effectLst>
              <a:outerShdw blurRad="50800" dist="38100" dir="13500000" algn="br" rotWithShape="0">
                <a:schemeClr val="bg1">
                  <a:alpha val="40000"/>
                </a:scheme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36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Calibri" panose="020F0502020204030204"/>
                <a:ea typeface="宋体" panose="02010600030101010101" pitchFamily="2" charset="-122"/>
                <a:cs typeface="+mn-cs"/>
              </a:endParaRPr>
            </a:p>
          </xdr:txBody>
        </xdr:sp>
      </xdr:grpSp>
      <xdr:grpSp>
        <xdr:nvGrpSpPr>
          <xdr:cNvPr id="60" name="组合 59">
            <a:extLst>
              <a:ext uri="{FF2B5EF4-FFF2-40B4-BE49-F238E27FC236}">
                <a16:creationId xmlns:a16="http://schemas.microsoft.com/office/drawing/2014/main" id="{73C4BB6C-CE59-45F3-B473-C47463435CBF}"/>
              </a:ext>
            </a:extLst>
          </xdr:cNvPr>
          <xdr:cNvGrpSpPr>
            <a:grpSpLocks/>
          </xdr:cNvGrpSpPr>
        </xdr:nvGrpSpPr>
        <xdr:grpSpPr>
          <a:xfrm>
            <a:off x="5349451" y="6239498"/>
            <a:ext cx="328239" cy="328239"/>
            <a:chOff x="4706475" y="6239498"/>
            <a:chExt cx="328239" cy="328239"/>
          </a:xfrm>
        </xdr:grpSpPr>
        <xdr:sp macro="" textlink="">
          <xdr:nvSpPr>
            <xdr:cNvPr id="61" name="椭圆 60">
              <a:extLst>
                <a:ext uri="{FF2B5EF4-FFF2-40B4-BE49-F238E27FC236}">
                  <a16:creationId xmlns:a16="http://schemas.microsoft.com/office/drawing/2014/main" id="{A77A6D62-1833-4D87-82FA-6A23D291672F}"/>
                </a:ext>
              </a:extLst>
            </xdr:cNvPr>
            <xdr:cNvSpPr/>
          </xdr:nvSpPr>
          <xdr:spPr>
            <a:xfrm>
              <a:off x="4706475" y="6239498"/>
              <a:ext cx="328239" cy="328239"/>
            </a:xfrm>
            <a:prstGeom prst="ellipse">
              <a:avLst/>
            </a:prstGeom>
            <a:solidFill>
              <a:srgbClr val="E1E9F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36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Calibri" panose="020F0502020204030204"/>
                <a:ea typeface="宋体" panose="02010600030101010101" pitchFamily="2" charset="-122"/>
                <a:cs typeface="+mn-cs"/>
              </a:endParaRPr>
            </a:p>
          </xdr:txBody>
        </xdr:sp>
        <xdr:sp macro="" textlink="">
          <xdr:nvSpPr>
            <xdr:cNvPr id="62" name="椭圆 61">
              <a:extLst>
                <a:ext uri="{FF2B5EF4-FFF2-40B4-BE49-F238E27FC236}">
                  <a16:creationId xmlns:a16="http://schemas.microsoft.com/office/drawing/2014/main" id="{55EC33D3-6B3F-4057-A9E9-BF60344969FD}"/>
                </a:ext>
              </a:extLst>
            </xdr:cNvPr>
            <xdr:cNvSpPr/>
          </xdr:nvSpPr>
          <xdr:spPr>
            <a:xfrm>
              <a:off x="4706475" y="6239498"/>
              <a:ext cx="328239" cy="328239"/>
            </a:xfrm>
            <a:prstGeom prst="ellipse">
              <a:avLst/>
            </a:prstGeom>
            <a:gradFill>
              <a:gsLst>
                <a:gs pos="56089">
                  <a:srgbClr val="FE7088"/>
                </a:gs>
                <a:gs pos="27300">
                  <a:srgbClr val="CB4B7C"/>
                </a:gs>
                <a:gs pos="100000">
                  <a:srgbClr val="FE9C80"/>
                </a:gs>
                <a:gs pos="0">
                  <a:srgbClr val="6E376E"/>
                </a:gs>
              </a:gsLst>
              <a:lin ang="19020000" scaled="0"/>
            </a:gradFill>
            <a:ln>
              <a:noFill/>
            </a:ln>
            <a:effectLst>
              <a:outerShdw blurRad="50800" dist="38100" dir="13500000" algn="br" rotWithShape="0">
                <a:schemeClr val="bg1">
                  <a:alpha val="40000"/>
                </a:scheme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36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Calibri" panose="020F0502020204030204"/>
                <a:ea typeface="宋体" panose="02010600030101010101" pitchFamily="2" charset="-122"/>
                <a:cs typeface="+mn-cs"/>
              </a:endParaRPr>
            </a:p>
          </xdr:txBody>
        </xdr:sp>
      </xdr:grpSp>
    </xdr:grpSp>
    <xdr:clientData/>
  </xdr:twoCellAnchor>
  <xdr:twoCellAnchor>
    <xdr:from>
      <xdr:col>0</xdr:col>
      <xdr:colOff>318263</xdr:colOff>
      <xdr:row>12</xdr:row>
      <xdr:rowOff>10990</xdr:rowOff>
    </xdr:from>
    <xdr:to>
      <xdr:col>1</xdr:col>
      <xdr:colOff>196453</xdr:colOff>
      <xdr:row>13</xdr:row>
      <xdr:rowOff>52393</xdr:rowOff>
    </xdr:to>
    <xdr:sp macro="" textlink="">
      <xdr:nvSpPr>
        <xdr:cNvPr id="85" name="稻壳儿：耗崽设计">
          <a:extLst>
            <a:ext uri="{FF2B5EF4-FFF2-40B4-BE49-F238E27FC236}">
              <a16:creationId xmlns:a16="http://schemas.microsoft.com/office/drawing/2014/main" id="{85684093-5D29-43F2-B349-0382B7179991}"/>
            </a:ext>
          </a:extLst>
        </xdr:cNvPr>
        <xdr:cNvSpPr txBox="1"/>
      </xdr:nvSpPr>
      <xdr:spPr>
        <a:xfrm>
          <a:off x="318263" y="2154115"/>
          <a:ext cx="562799" cy="219997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altLang="zh-CN" sz="1000" i="0" u="none" strike="noStrike" kern="1200" cap="none" spc="0" normalizeH="0" baseline="0">
              <a:ln>
                <a:noFill/>
              </a:ln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</a:rPr>
            <a:t>KPI</a:t>
          </a:r>
          <a:r>
            <a:rPr kumimoji="0" lang="zh-CN" altLang="en-US" sz="1000" i="0" u="none" strike="noStrike" kern="1200" cap="none" spc="0" normalizeH="0" baseline="0">
              <a:ln>
                <a:noFill/>
              </a:ln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</a:rPr>
            <a:t>冠军</a:t>
          </a:r>
        </a:p>
      </xdr:txBody>
    </xdr:sp>
    <xdr:clientData/>
  </xdr:twoCellAnchor>
  <xdr:twoCellAnchor>
    <xdr:from>
      <xdr:col>0</xdr:col>
      <xdr:colOff>318263</xdr:colOff>
      <xdr:row>13</xdr:row>
      <xdr:rowOff>62186</xdr:rowOff>
    </xdr:from>
    <xdr:to>
      <xdr:col>1</xdr:col>
      <xdr:colOff>196453</xdr:colOff>
      <xdr:row>14</xdr:row>
      <xdr:rowOff>103589</xdr:rowOff>
    </xdr:to>
    <xdr:sp macro="" textlink="">
      <xdr:nvSpPr>
        <xdr:cNvPr id="86" name="稻壳儿：耗崽设计">
          <a:extLst>
            <a:ext uri="{FF2B5EF4-FFF2-40B4-BE49-F238E27FC236}">
              <a16:creationId xmlns:a16="http://schemas.microsoft.com/office/drawing/2014/main" id="{9B8BCA01-8DF6-4787-BB7C-09AFEA1EF717}"/>
            </a:ext>
          </a:extLst>
        </xdr:cNvPr>
        <xdr:cNvSpPr txBox="1"/>
      </xdr:nvSpPr>
      <xdr:spPr>
        <a:xfrm>
          <a:off x="318263" y="2383905"/>
          <a:ext cx="562799" cy="219997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altLang="zh-CN" sz="1000" i="0" u="none" strike="noStrike" kern="1200" cap="none" spc="0" normalizeH="0" baseline="0">
              <a:ln>
                <a:noFill/>
              </a:ln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</a:rPr>
            <a:t>KPI</a:t>
          </a:r>
          <a:r>
            <a:rPr kumimoji="0" lang="zh-CN" altLang="en-US" sz="1000" i="0" u="none" strike="noStrike" kern="1200" cap="none" spc="0" normalizeH="0" baseline="0">
              <a:ln>
                <a:noFill/>
              </a:ln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</a:rPr>
            <a:t>亚军</a:t>
          </a:r>
        </a:p>
      </xdr:txBody>
    </xdr:sp>
    <xdr:clientData/>
  </xdr:twoCellAnchor>
  <xdr:twoCellAnchor>
    <xdr:from>
      <xdr:col>0</xdr:col>
      <xdr:colOff>318263</xdr:colOff>
      <xdr:row>14</xdr:row>
      <xdr:rowOff>83617</xdr:rowOff>
    </xdr:from>
    <xdr:to>
      <xdr:col>1</xdr:col>
      <xdr:colOff>196453</xdr:colOff>
      <xdr:row>15</xdr:row>
      <xdr:rowOff>125021</xdr:rowOff>
    </xdr:to>
    <xdr:sp macro="" textlink="">
      <xdr:nvSpPr>
        <xdr:cNvPr id="87" name="稻壳儿：耗崽设计">
          <a:extLst>
            <a:ext uri="{FF2B5EF4-FFF2-40B4-BE49-F238E27FC236}">
              <a16:creationId xmlns:a16="http://schemas.microsoft.com/office/drawing/2014/main" id="{CF222F17-1DFF-4EEA-8014-E6D515832595}"/>
            </a:ext>
          </a:extLst>
        </xdr:cNvPr>
        <xdr:cNvSpPr txBox="1"/>
      </xdr:nvSpPr>
      <xdr:spPr>
        <a:xfrm>
          <a:off x="318263" y="2583930"/>
          <a:ext cx="562799" cy="219997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altLang="zh-CN" sz="1000" i="0" u="none" strike="noStrike" kern="1200" cap="none" spc="0" normalizeH="0" baseline="0">
              <a:ln>
                <a:noFill/>
              </a:ln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</a:rPr>
            <a:t>KPI</a:t>
          </a:r>
          <a:r>
            <a:rPr kumimoji="0" lang="zh-CN" altLang="en-US" sz="1000" i="0" u="none" strike="noStrike" kern="1200" cap="none" spc="0" normalizeH="0" baseline="0">
              <a:ln>
                <a:noFill/>
              </a:ln>
              <a:effectLst/>
              <a:uLnTx/>
              <a:uFillTx/>
              <a:latin typeface="微软雅黑" panose="020B0503020204020204" pitchFamily="34" charset="-122"/>
              <a:ea typeface="微软雅黑" panose="020B0503020204020204" pitchFamily="34" charset="-122"/>
            </a:rPr>
            <a:t>季军</a:t>
          </a:r>
        </a:p>
      </xdr:txBody>
    </xdr:sp>
    <xdr:clientData/>
  </xdr:twoCellAnchor>
  <xdr:twoCellAnchor>
    <xdr:from>
      <xdr:col>1</xdr:col>
      <xdr:colOff>259555</xdr:colOff>
      <xdr:row>12</xdr:row>
      <xdr:rowOff>50280</xdr:rowOff>
    </xdr:from>
    <xdr:to>
      <xdr:col>2</xdr:col>
      <xdr:colOff>384205</xdr:colOff>
      <xdr:row>13</xdr:row>
      <xdr:rowOff>21727</xdr:rowOff>
    </xdr:to>
    <xdr:sp macro="" textlink="">
      <xdr:nvSpPr>
        <xdr:cNvPr id="88" name="稻壳儿：耗崽设计">
          <a:extLst>
            <a:ext uri="{FF2B5EF4-FFF2-40B4-BE49-F238E27FC236}">
              <a16:creationId xmlns:a16="http://schemas.microsoft.com/office/drawing/2014/main" id="{B36DE519-5525-4D26-B505-6CB7EC92A775}"/>
            </a:ext>
          </a:extLst>
        </xdr:cNvPr>
        <xdr:cNvSpPr txBox="1"/>
      </xdr:nvSpPr>
      <xdr:spPr>
        <a:xfrm>
          <a:off x="948286" y="2248357"/>
          <a:ext cx="813381" cy="154620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900" i="0" u="none" strike="noStrike" kern="1200" cap="none" spc="0" normalizeH="0" baseline="0">
              <a:ln>
                <a:noFill/>
              </a:ln>
              <a:effectLst/>
              <a:uLnTx/>
              <a:uFillTx/>
              <a:latin typeface="楷体" panose="02010609060101010101" pitchFamily="49" charset="-122"/>
              <a:ea typeface="楷体" panose="02010609060101010101" pitchFamily="49" charset="-122"/>
            </a:rPr>
            <a:t>小耗崽 </a:t>
          </a:r>
          <a:r>
            <a:rPr kumimoji="0" lang="en-US" altLang="zh-CN" sz="900" i="0" u="none" strike="noStrike" kern="1200" cap="none" spc="0" normalizeH="0" baseline="0">
              <a:ln>
                <a:noFill/>
              </a:ln>
              <a:solidFill>
                <a:srgbClr val="FE7088"/>
              </a:solidFill>
              <a:effectLst/>
              <a:uLnTx/>
              <a:uFillTx/>
              <a:latin typeface="楷体" panose="02010609060101010101" pitchFamily="49" charset="-122"/>
              <a:ea typeface="楷体" panose="02010609060101010101" pitchFamily="49" charset="-122"/>
            </a:rPr>
            <a:t>119.03</a:t>
          </a:r>
          <a:endParaRPr kumimoji="0" lang="zh-CN" altLang="en-US" sz="900" i="0" u="none" strike="noStrike" kern="1200" cap="none" spc="0" normalizeH="0" baseline="0">
            <a:ln>
              <a:noFill/>
            </a:ln>
            <a:solidFill>
              <a:srgbClr val="FE7088"/>
            </a:solidFill>
            <a:effectLst/>
            <a:uLnTx/>
            <a:uFillTx/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  <xdr:twoCellAnchor>
    <xdr:from>
      <xdr:col>1</xdr:col>
      <xdr:colOff>259555</xdr:colOff>
      <xdr:row>13</xdr:row>
      <xdr:rowOff>101476</xdr:rowOff>
    </xdr:from>
    <xdr:to>
      <xdr:col>2</xdr:col>
      <xdr:colOff>384205</xdr:colOff>
      <xdr:row>14</xdr:row>
      <xdr:rowOff>72923</xdr:rowOff>
    </xdr:to>
    <xdr:sp macro="" textlink="">
      <xdr:nvSpPr>
        <xdr:cNvPr id="89" name="稻壳儿：耗崽设计">
          <a:extLst>
            <a:ext uri="{FF2B5EF4-FFF2-40B4-BE49-F238E27FC236}">
              <a16:creationId xmlns:a16="http://schemas.microsoft.com/office/drawing/2014/main" id="{AD929ECA-A7D2-40F8-BEB8-3D4B4FE11177}"/>
            </a:ext>
          </a:extLst>
        </xdr:cNvPr>
        <xdr:cNvSpPr txBox="1"/>
      </xdr:nvSpPr>
      <xdr:spPr>
        <a:xfrm>
          <a:off x="948286" y="2482726"/>
          <a:ext cx="813381" cy="154620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900" i="0" u="none" strike="noStrike" kern="1200" cap="none" spc="0" normalizeH="0" baseline="0">
              <a:ln>
                <a:noFill/>
              </a:ln>
              <a:effectLst/>
              <a:uLnTx/>
              <a:uFillTx/>
              <a:latin typeface="楷体" panose="02010609060101010101" pitchFamily="49" charset="-122"/>
              <a:ea typeface="楷体" panose="02010609060101010101" pitchFamily="49" charset="-122"/>
            </a:rPr>
            <a:t>大耗崽 </a:t>
          </a:r>
          <a:r>
            <a:rPr kumimoji="0" lang="en-US" altLang="zh-CN" sz="900" i="0" u="none" strike="noStrike" kern="1200" cap="none" spc="0" normalizeH="0" baseline="0">
              <a:ln>
                <a:noFill/>
              </a:ln>
              <a:solidFill>
                <a:srgbClr val="CB4B7C"/>
              </a:solidFill>
              <a:effectLst/>
              <a:uLnTx/>
              <a:uFillTx/>
              <a:latin typeface="楷体" panose="02010609060101010101" pitchFamily="49" charset="-122"/>
              <a:ea typeface="楷体" panose="02010609060101010101" pitchFamily="49" charset="-122"/>
            </a:rPr>
            <a:t>113.28</a:t>
          </a:r>
          <a:endParaRPr kumimoji="0" lang="zh-CN" altLang="en-US" sz="900" i="0" u="none" strike="noStrike" kern="1200" cap="none" spc="0" normalizeH="0" baseline="0">
            <a:ln>
              <a:noFill/>
            </a:ln>
            <a:solidFill>
              <a:srgbClr val="CB4B7C"/>
            </a:solidFill>
            <a:effectLst/>
            <a:uLnTx/>
            <a:uFillTx/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  <xdr:twoCellAnchor>
    <xdr:from>
      <xdr:col>1</xdr:col>
      <xdr:colOff>266882</xdr:colOff>
      <xdr:row>14</xdr:row>
      <xdr:rowOff>122907</xdr:rowOff>
    </xdr:from>
    <xdr:to>
      <xdr:col>2</xdr:col>
      <xdr:colOff>391532</xdr:colOff>
      <xdr:row>15</xdr:row>
      <xdr:rowOff>94355</xdr:rowOff>
    </xdr:to>
    <xdr:sp macro="" textlink="">
      <xdr:nvSpPr>
        <xdr:cNvPr id="90" name="稻壳儿：耗崽设计">
          <a:extLst>
            <a:ext uri="{FF2B5EF4-FFF2-40B4-BE49-F238E27FC236}">
              <a16:creationId xmlns:a16="http://schemas.microsoft.com/office/drawing/2014/main" id="{ACA039B1-85D5-4FE6-8157-F627A8AC6F91}"/>
            </a:ext>
          </a:extLst>
        </xdr:cNvPr>
        <xdr:cNvSpPr txBox="1"/>
      </xdr:nvSpPr>
      <xdr:spPr>
        <a:xfrm>
          <a:off x="955613" y="2687330"/>
          <a:ext cx="813381" cy="154621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900" i="0" u="none" strike="noStrike" kern="1200" cap="none" spc="0" normalizeH="0" baseline="0">
              <a:ln>
                <a:noFill/>
              </a:ln>
              <a:effectLst/>
              <a:uLnTx/>
              <a:uFillTx/>
              <a:latin typeface="楷体" panose="02010609060101010101" pitchFamily="49" charset="-122"/>
              <a:ea typeface="楷体" panose="02010609060101010101" pitchFamily="49" charset="-122"/>
            </a:rPr>
            <a:t>耗崽儿 </a:t>
          </a:r>
          <a:r>
            <a:rPr kumimoji="0" lang="en-US" altLang="zh-CN" sz="900" i="0" u="none" strike="noStrike" kern="1200" cap="none" spc="0" normalizeH="0" baseline="0">
              <a:ln>
                <a:noFill/>
              </a:ln>
              <a:solidFill>
                <a:srgbClr val="6E376E"/>
              </a:solidFill>
              <a:effectLst/>
              <a:uLnTx/>
              <a:uFillTx/>
              <a:latin typeface="楷体" panose="02010609060101010101" pitchFamily="49" charset="-122"/>
              <a:ea typeface="楷体" panose="02010609060101010101" pitchFamily="49" charset="-122"/>
            </a:rPr>
            <a:t>106.11</a:t>
          </a:r>
          <a:endParaRPr kumimoji="0" lang="zh-CN" altLang="en-US" sz="900" i="0" u="none" strike="noStrike" kern="1200" cap="none" spc="0" normalizeH="0" baseline="0">
            <a:ln>
              <a:noFill/>
            </a:ln>
            <a:solidFill>
              <a:srgbClr val="6E376E"/>
            </a:solidFill>
            <a:effectLst/>
            <a:uLnTx/>
            <a:uFillTx/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  <xdr:twoCellAnchor>
    <xdr:from>
      <xdr:col>0</xdr:col>
      <xdr:colOff>257909</xdr:colOff>
      <xdr:row>16</xdr:row>
      <xdr:rowOff>48722</xdr:rowOff>
    </xdr:from>
    <xdr:to>
      <xdr:col>1</xdr:col>
      <xdr:colOff>316659</xdr:colOff>
      <xdr:row>20</xdr:row>
      <xdr:rowOff>63012</xdr:rowOff>
    </xdr:to>
    <xdr:graphicFrame macro="">
      <xdr:nvGraphicFramePr>
        <xdr:cNvPr id="91" name="稻壳儿：耗崽设计">
          <a:extLst>
            <a:ext uri="{FF2B5EF4-FFF2-40B4-BE49-F238E27FC236}">
              <a16:creationId xmlns:a16="http://schemas.microsoft.com/office/drawing/2014/main" id="{376118C3-6EAB-451A-9043-732FE89F4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318397</xdr:colOff>
      <xdr:row>16</xdr:row>
      <xdr:rowOff>47740</xdr:rowOff>
    </xdr:from>
    <xdr:to>
      <xdr:col>2</xdr:col>
      <xdr:colOff>395332</xdr:colOff>
      <xdr:row>20</xdr:row>
      <xdr:rowOff>70339</xdr:rowOff>
    </xdr:to>
    <xdr:graphicFrame macro="">
      <xdr:nvGraphicFramePr>
        <xdr:cNvPr id="92" name="稻壳儿：耗崽设计">
          <a:extLst>
            <a:ext uri="{FF2B5EF4-FFF2-40B4-BE49-F238E27FC236}">
              <a16:creationId xmlns:a16="http://schemas.microsoft.com/office/drawing/2014/main" id="{D063635F-44B8-4236-96F7-1C0B6938B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397070</xdr:colOff>
      <xdr:row>16</xdr:row>
      <xdr:rowOff>46792</xdr:rowOff>
    </xdr:from>
    <xdr:to>
      <xdr:col>3</xdr:col>
      <xdr:colOff>468688</xdr:colOff>
      <xdr:row>20</xdr:row>
      <xdr:rowOff>70339</xdr:rowOff>
    </xdr:to>
    <xdr:graphicFrame macro="">
      <xdr:nvGraphicFramePr>
        <xdr:cNvPr id="93" name="稻壳儿：耗崽设计">
          <a:extLst>
            <a:ext uri="{FF2B5EF4-FFF2-40B4-BE49-F238E27FC236}">
              <a16:creationId xmlns:a16="http://schemas.microsoft.com/office/drawing/2014/main" id="{D91A0668-6AF2-4254-83D8-8DDD25AA0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470427</xdr:colOff>
      <xdr:row>16</xdr:row>
      <xdr:rowOff>36519</xdr:rowOff>
    </xdr:from>
    <xdr:to>
      <xdr:col>4</xdr:col>
      <xdr:colOff>541234</xdr:colOff>
      <xdr:row>20</xdr:row>
      <xdr:rowOff>63012</xdr:rowOff>
    </xdr:to>
    <xdr:graphicFrame macro="">
      <xdr:nvGraphicFramePr>
        <xdr:cNvPr id="94" name="稻壳儿：耗崽设计">
          <a:extLst>
            <a:ext uri="{FF2B5EF4-FFF2-40B4-BE49-F238E27FC236}">
              <a16:creationId xmlns:a16="http://schemas.microsoft.com/office/drawing/2014/main" id="{F4F18581-A435-4B8A-84CE-4F16C4F89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115660</xdr:colOff>
      <xdr:row>2</xdr:row>
      <xdr:rowOff>140153</xdr:rowOff>
    </xdr:from>
    <xdr:to>
      <xdr:col>14</xdr:col>
      <xdr:colOff>405847</xdr:colOff>
      <xdr:row>11</xdr:row>
      <xdr:rowOff>12246</xdr:rowOff>
    </xdr:to>
    <xdr:graphicFrame macro="">
      <xdr:nvGraphicFramePr>
        <xdr:cNvPr id="96" name="稻壳儿：耗崽设计">
          <a:extLst>
            <a:ext uri="{FF2B5EF4-FFF2-40B4-BE49-F238E27FC236}">
              <a16:creationId xmlns:a16="http://schemas.microsoft.com/office/drawing/2014/main" id="{45DCD1B6-2CDA-422B-90AD-EA10199CF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151088</xdr:colOff>
      <xdr:row>12</xdr:row>
      <xdr:rowOff>13139</xdr:rowOff>
    </xdr:from>
    <xdr:to>
      <xdr:col>6</xdr:col>
      <xdr:colOff>643760</xdr:colOff>
      <xdr:row>12</xdr:row>
      <xdr:rowOff>146509</xdr:rowOff>
    </xdr:to>
    <xdr:sp macro="" textlink="">
      <xdr:nvSpPr>
        <xdr:cNvPr id="95" name="稻壳儿：耗崽设计">
          <a:extLst>
            <a:ext uri="{FF2B5EF4-FFF2-40B4-BE49-F238E27FC236}">
              <a16:creationId xmlns:a16="http://schemas.microsoft.com/office/drawing/2014/main" id="{97829910-39DE-40EB-A442-49DDB286885C}"/>
            </a:ext>
          </a:extLst>
        </xdr:cNvPr>
        <xdr:cNvSpPr txBox="1"/>
      </xdr:nvSpPr>
      <xdr:spPr>
        <a:xfrm>
          <a:off x="4250122" y="2220311"/>
          <a:ext cx="492672" cy="133370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800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楷体" panose="02010609060101010101" pitchFamily="49" charset="-122"/>
              <a:ea typeface="楷体" panose="02010609060101010101" pitchFamily="49" charset="-122"/>
            </a:rPr>
            <a:t>部门</a:t>
          </a:r>
          <a:endParaRPr kumimoji="0" lang="zh-CN" altLang="en-US" sz="800" i="0" u="none" strike="noStrike" kern="1200" cap="none" spc="0" normalizeH="0" baseline="0">
            <a:ln>
              <a:noFill/>
            </a:ln>
            <a:solidFill>
              <a:srgbClr val="FE7088"/>
            </a:solidFill>
            <a:effectLst/>
            <a:uLnTx/>
            <a:uFillTx/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  <xdr:twoCellAnchor>
    <xdr:from>
      <xdr:col>7</xdr:col>
      <xdr:colOff>415158</xdr:colOff>
      <xdr:row>15</xdr:row>
      <xdr:rowOff>21022</xdr:rowOff>
    </xdr:from>
    <xdr:to>
      <xdr:col>8</xdr:col>
      <xdr:colOff>45982</xdr:colOff>
      <xdr:row>15</xdr:row>
      <xdr:rowOff>154392</xdr:rowOff>
    </xdr:to>
    <xdr:sp macro="" textlink="">
      <xdr:nvSpPr>
        <xdr:cNvPr id="98" name="稻壳儿：耗崽设计">
          <a:extLst>
            <a:ext uri="{FF2B5EF4-FFF2-40B4-BE49-F238E27FC236}">
              <a16:creationId xmlns:a16="http://schemas.microsoft.com/office/drawing/2014/main" id="{25771F69-9C94-44BE-9879-B4C087D99E17}"/>
            </a:ext>
          </a:extLst>
        </xdr:cNvPr>
        <xdr:cNvSpPr txBox="1"/>
      </xdr:nvSpPr>
      <xdr:spPr>
        <a:xfrm>
          <a:off x="5197365" y="2779988"/>
          <a:ext cx="313996" cy="133370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800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楷体" panose="02010609060101010101" pitchFamily="49" charset="-122"/>
              <a:ea typeface="楷体" panose="02010609060101010101" pitchFamily="49" charset="-122"/>
            </a:rPr>
            <a:t>公共</a:t>
          </a:r>
          <a:endParaRPr kumimoji="0" lang="zh-CN" altLang="en-US" sz="800" i="0" u="none" strike="noStrike" kern="1200" cap="none" spc="0" normalizeH="0" baseline="0">
            <a:ln>
              <a:noFill/>
            </a:ln>
            <a:solidFill>
              <a:srgbClr val="FE7088"/>
            </a:solidFill>
            <a:effectLst/>
            <a:uLnTx/>
            <a:uFillTx/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  <xdr:twoCellAnchor>
    <xdr:from>
      <xdr:col>6</xdr:col>
      <xdr:colOff>620112</xdr:colOff>
      <xdr:row>19</xdr:row>
      <xdr:rowOff>140378</xdr:rowOff>
    </xdr:from>
    <xdr:to>
      <xdr:col>7</xdr:col>
      <xdr:colOff>429611</xdr:colOff>
      <xdr:row>20</xdr:row>
      <xdr:rowOff>89817</xdr:rowOff>
    </xdr:to>
    <xdr:sp macro="" textlink="">
      <xdr:nvSpPr>
        <xdr:cNvPr id="100" name="稻壳儿：耗崽设计">
          <a:extLst>
            <a:ext uri="{FF2B5EF4-FFF2-40B4-BE49-F238E27FC236}">
              <a16:creationId xmlns:a16="http://schemas.microsoft.com/office/drawing/2014/main" id="{C98487C6-D1F2-4098-802D-0FC34D74E612}"/>
            </a:ext>
          </a:extLst>
        </xdr:cNvPr>
        <xdr:cNvSpPr txBox="1"/>
      </xdr:nvSpPr>
      <xdr:spPr>
        <a:xfrm>
          <a:off x="4744851" y="3602508"/>
          <a:ext cx="496956" cy="131657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800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楷体" panose="02010609060101010101" pitchFamily="49" charset="-122"/>
              <a:ea typeface="楷体" panose="02010609060101010101" pitchFamily="49" charset="-122"/>
            </a:rPr>
            <a:t>学习</a:t>
          </a:r>
          <a:endParaRPr kumimoji="0" lang="zh-CN" altLang="en-US" sz="800" i="0" u="none" strike="noStrike" kern="1200" cap="none" spc="0" normalizeH="0" baseline="0">
            <a:ln>
              <a:noFill/>
            </a:ln>
            <a:solidFill>
              <a:srgbClr val="FE7088"/>
            </a:solidFill>
            <a:effectLst/>
            <a:uLnTx/>
            <a:uFillTx/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  <xdr:twoCellAnchor>
    <xdr:from>
      <xdr:col>5</xdr:col>
      <xdr:colOff>417788</xdr:colOff>
      <xdr:row>19</xdr:row>
      <xdr:rowOff>135122</xdr:rowOff>
    </xdr:from>
    <xdr:to>
      <xdr:col>6</xdr:col>
      <xdr:colOff>227288</xdr:colOff>
      <xdr:row>20</xdr:row>
      <xdr:rowOff>84561</xdr:rowOff>
    </xdr:to>
    <xdr:sp macro="" textlink="">
      <xdr:nvSpPr>
        <xdr:cNvPr id="101" name="稻壳儿：耗崽设计">
          <a:extLst>
            <a:ext uri="{FF2B5EF4-FFF2-40B4-BE49-F238E27FC236}">
              <a16:creationId xmlns:a16="http://schemas.microsoft.com/office/drawing/2014/main" id="{C2824509-6DF8-40D0-8732-1D39696A6F64}"/>
            </a:ext>
          </a:extLst>
        </xdr:cNvPr>
        <xdr:cNvSpPr txBox="1"/>
      </xdr:nvSpPr>
      <xdr:spPr>
        <a:xfrm>
          <a:off x="3855071" y="3597252"/>
          <a:ext cx="496956" cy="131657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800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楷体" panose="02010609060101010101" pitchFamily="49" charset="-122"/>
              <a:ea typeface="楷体" panose="02010609060101010101" pitchFamily="49" charset="-122"/>
            </a:rPr>
            <a:t>加减</a:t>
          </a:r>
          <a:endParaRPr kumimoji="0" lang="zh-CN" altLang="en-US" sz="800" i="0" u="none" strike="noStrike" kern="1200" cap="none" spc="0" normalizeH="0" baseline="0">
            <a:ln>
              <a:noFill/>
            </a:ln>
            <a:solidFill>
              <a:srgbClr val="FE7088"/>
            </a:solidFill>
            <a:effectLst/>
            <a:uLnTx/>
            <a:uFillTx/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  <xdr:twoCellAnchor>
    <xdr:from>
      <xdr:col>5</xdr:col>
      <xdr:colOff>105102</xdr:colOff>
      <xdr:row>15</xdr:row>
      <xdr:rowOff>1313</xdr:rowOff>
    </xdr:from>
    <xdr:to>
      <xdr:col>5</xdr:col>
      <xdr:colOff>474279</xdr:colOff>
      <xdr:row>15</xdr:row>
      <xdr:rowOff>134683</xdr:rowOff>
    </xdr:to>
    <xdr:sp macro="" textlink="">
      <xdr:nvSpPr>
        <xdr:cNvPr id="102" name="稻壳儿：耗崽设计">
          <a:extLst>
            <a:ext uri="{FF2B5EF4-FFF2-40B4-BE49-F238E27FC236}">
              <a16:creationId xmlns:a16="http://schemas.microsoft.com/office/drawing/2014/main" id="{C07D478E-1366-4563-8826-E3E78903EA3D}"/>
            </a:ext>
          </a:extLst>
        </xdr:cNvPr>
        <xdr:cNvSpPr txBox="1"/>
      </xdr:nvSpPr>
      <xdr:spPr>
        <a:xfrm>
          <a:off x="3520964" y="2760279"/>
          <a:ext cx="369177" cy="133370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800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楷体" panose="02010609060101010101" pitchFamily="49" charset="-122"/>
              <a:ea typeface="楷体" panose="02010609060101010101" pitchFamily="49" charset="-122"/>
            </a:rPr>
            <a:t>上级</a:t>
          </a:r>
          <a:endParaRPr kumimoji="0" lang="zh-CN" altLang="en-US" sz="800" i="0" u="none" strike="noStrike" kern="1200" cap="none" spc="0" normalizeH="0" baseline="0">
            <a:ln>
              <a:noFill/>
            </a:ln>
            <a:solidFill>
              <a:srgbClr val="FE7088"/>
            </a:solidFill>
            <a:effectLst/>
            <a:uLnTx/>
            <a:uFillTx/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  <xdr:twoCellAnchor>
    <xdr:from>
      <xdr:col>0</xdr:col>
      <xdr:colOff>428045</xdr:colOff>
      <xdr:row>19</xdr:row>
      <xdr:rowOff>155280</xdr:rowOff>
    </xdr:from>
    <xdr:to>
      <xdr:col>1</xdr:col>
      <xdr:colOff>139211</xdr:colOff>
      <xdr:row>20</xdr:row>
      <xdr:rowOff>105476</xdr:rowOff>
    </xdr:to>
    <xdr:sp macro="" textlink="">
      <xdr:nvSpPr>
        <xdr:cNvPr id="99" name="稻壳儿：耗崽设计">
          <a:extLst>
            <a:ext uri="{FF2B5EF4-FFF2-40B4-BE49-F238E27FC236}">
              <a16:creationId xmlns:a16="http://schemas.microsoft.com/office/drawing/2014/main" id="{6CD77657-0653-4D18-9E45-F690EC865DBD}"/>
            </a:ext>
          </a:extLst>
        </xdr:cNvPr>
        <xdr:cNvSpPr txBox="1"/>
      </xdr:nvSpPr>
      <xdr:spPr>
        <a:xfrm>
          <a:off x="428045" y="3635568"/>
          <a:ext cx="399897" cy="133370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800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楷体" panose="02010609060101010101" pitchFamily="49" charset="-122"/>
              <a:ea typeface="楷体" panose="02010609060101010101" pitchFamily="49" charset="-122"/>
            </a:rPr>
            <a:t>部门</a:t>
          </a:r>
          <a:r>
            <a:rPr kumimoji="0" lang="en-US" altLang="zh-CN" sz="800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楷体" panose="02010609060101010101" pitchFamily="49" charset="-122"/>
              <a:ea typeface="楷体" panose="02010609060101010101" pitchFamily="49" charset="-122"/>
            </a:rPr>
            <a:t>KPI</a:t>
          </a:r>
          <a:endParaRPr kumimoji="0" lang="zh-CN" altLang="en-US" sz="800" i="0" u="none" strike="noStrike" kern="1200" cap="none" spc="0" normalizeH="0" baseline="0">
            <a:ln>
              <a:noFill/>
            </a:ln>
            <a:solidFill>
              <a:srgbClr val="FE7088"/>
            </a:solidFill>
            <a:effectLst/>
            <a:uLnTx/>
            <a:uFillTx/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  <xdr:twoCellAnchor>
    <xdr:from>
      <xdr:col>1</xdr:col>
      <xdr:colOff>492521</xdr:colOff>
      <xdr:row>19</xdr:row>
      <xdr:rowOff>155280</xdr:rowOff>
    </xdr:from>
    <xdr:to>
      <xdr:col>2</xdr:col>
      <xdr:colOff>203687</xdr:colOff>
      <xdr:row>20</xdr:row>
      <xdr:rowOff>105476</xdr:rowOff>
    </xdr:to>
    <xdr:sp macro="" textlink="">
      <xdr:nvSpPr>
        <xdr:cNvPr id="104" name="稻壳儿：耗崽设计">
          <a:extLst>
            <a:ext uri="{FF2B5EF4-FFF2-40B4-BE49-F238E27FC236}">
              <a16:creationId xmlns:a16="http://schemas.microsoft.com/office/drawing/2014/main" id="{BC192DE2-D8EC-4AD5-8C75-1327B38551AB}"/>
            </a:ext>
          </a:extLst>
        </xdr:cNvPr>
        <xdr:cNvSpPr txBox="1"/>
      </xdr:nvSpPr>
      <xdr:spPr>
        <a:xfrm>
          <a:off x="1181252" y="3635568"/>
          <a:ext cx="399897" cy="133370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800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楷体" panose="02010609060101010101" pitchFamily="49" charset="-122"/>
              <a:ea typeface="楷体" panose="02010609060101010101" pitchFamily="49" charset="-122"/>
            </a:rPr>
            <a:t>公共</a:t>
          </a:r>
          <a:r>
            <a:rPr kumimoji="0" lang="en-US" altLang="zh-CN" sz="800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楷体" panose="02010609060101010101" pitchFamily="49" charset="-122"/>
              <a:ea typeface="楷体" panose="02010609060101010101" pitchFamily="49" charset="-122"/>
            </a:rPr>
            <a:t>KPI</a:t>
          </a:r>
          <a:endParaRPr kumimoji="0" lang="zh-CN" altLang="en-US" sz="800" i="0" u="none" strike="noStrike" kern="1200" cap="none" spc="0" normalizeH="0" baseline="0">
            <a:ln>
              <a:noFill/>
            </a:ln>
            <a:solidFill>
              <a:srgbClr val="FE7088"/>
            </a:solidFill>
            <a:effectLst/>
            <a:uLnTx/>
            <a:uFillTx/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  <xdr:twoCellAnchor>
    <xdr:from>
      <xdr:col>2</xdr:col>
      <xdr:colOff>556997</xdr:colOff>
      <xdr:row>19</xdr:row>
      <xdr:rowOff>155280</xdr:rowOff>
    </xdr:from>
    <xdr:to>
      <xdr:col>3</xdr:col>
      <xdr:colOff>268164</xdr:colOff>
      <xdr:row>20</xdr:row>
      <xdr:rowOff>105476</xdr:rowOff>
    </xdr:to>
    <xdr:sp macro="" textlink="">
      <xdr:nvSpPr>
        <xdr:cNvPr id="105" name="稻壳儿：耗崽设计">
          <a:extLst>
            <a:ext uri="{FF2B5EF4-FFF2-40B4-BE49-F238E27FC236}">
              <a16:creationId xmlns:a16="http://schemas.microsoft.com/office/drawing/2014/main" id="{2B666A54-C4FD-4165-8BCD-D3952DBC742C}"/>
            </a:ext>
          </a:extLst>
        </xdr:cNvPr>
        <xdr:cNvSpPr txBox="1"/>
      </xdr:nvSpPr>
      <xdr:spPr>
        <a:xfrm>
          <a:off x="1934459" y="3635568"/>
          <a:ext cx="399897" cy="133370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800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楷体" panose="02010609060101010101" pitchFamily="49" charset="-122"/>
              <a:ea typeface="楷体" panose="02010609060101010101" pitchFamily="49" charset="-122"/>
            </a:rPr>
            <a:t>学习</a:t>
          </a:r>
          <a:r>
            <a:rPr kumimoji="0" lang="en-US" altLang="zh-CN" sz="800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楷体" panose="02010609060101010101" pitchFamily="49" charset="-122"/>
              <a:ea typeface="楷体" panose="02010609060101010101" pitchFamily="49" charset="-122"/>
            </a:rPr>
            <a:t>KPI</a:t>
          </a:r>
          <a:endParaRPr kumimoji="0" lang="zh-CN" altLang="en-US" sz="800" i="0" u="none" strike="noStrike" kern="1200" cap="none" spc="0" normalizeH="0" baseline="0">
            <a:ln>
              <a:noFill/>
            </a:ln>
            <a:solidFill>
              <a:srgbClr val="FE7088"/>
            </a:solidFill>
            <a:effectLst/>
            <a:uLnTx/>
            <a:uFillTx/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  <xdr:twoCellAnchor>
    <xdr:from>
      <xdr:col>3</xdr:col>
      <xdr:colOff>628801</xdr:colOff>
      <xdr:row>19</xdr:row>
      <xdr:rowOff>155280</xdr:rowOff>
    </xdr:from>
    <xdr:to>
      <xdr:col>4</xdr:col>
      <xdr:colOff>402981</xdr:colOff>
      <xdr:row>20</xdr:row>
      <xdr:rowOff>105476</xdr:rowOff>
    </xdr:to>
    <xdr:sp macro="" textlink="">
      <xdr:nvSpPr>
        <xdr:cNvPr id="106" name="稻壳儿：耗崽设计">
          <a:extLst>
            <a:ext uri="{FF2B5EF4-FFF2-40B4-BE49-F238E27FC236}">
              <a16:creationId xmlns:a16="http://schemas.microsoft.com/office/drawing/2014/main" id="{6D55B354-E82B-45BD-8E8C-49FAAC31AD75}"/>
            </a:ext>
          </a:extLst>
        </xdr:cNvPr>
        <xdr:cNvSpPr txBox="1"/>
      </xdr:nvSpPr>
      <xdr:spPr>
        <a:xfrm>
          <a:off x="2694993" y="3635568"/>
          <a:ext cx="462911" cy="133370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800" i="0" u="none" strike="noStrike" kern="120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楷体" panose="02010609060101010101" pitchFamily="49" charset="-122"/>
              <a:ea typeface="楷体" panose="02010609060101010101" pitchFamily="49" charset="-122"/>
            </a:rPr>
            <a:t>加减分</a:t>
          </a:r>
          <a:endParaRPr kumimoji="0" lang="zh-CN" altLang="en-US" sz="800" i="0" u="none" strike="noStrike" kern="1200" cap="none" spc="0" normalizeH="0" baseline="0">
            <a:ln>
              <a:noFill/>
            </a:ln>
            <a:solidFill>
              <a:srgbClr val="FE7088"/>
            </a:solidFill>
            <a:effectLst/>
            <a:uLnTx/>
            <a:uFillTx/>
            <a:latin typeface="楷体" panose="02010609060101010101" pitchFamily="49" charset="-122"/>
            <a:ea typeface="楷体" panose="02010609060101010101" pitchFamily="49" charset="-122"/>
          </a:endParaRPr>
        </a:p>
      </xdr:txBody>
    </xdr:sp>
    <xdr:clientData/>
  </xdr:twoCellAnchor>
  <xdr:twoCellAnchor>
    <xdr:from>
      <xdr:col>3</xdr:col>
      <xdr:colOff>389280</xdr:colOff>
      <xdr:row>0</xdr:row>
      <xdr:rowOff>8282</xdr:rowOff>
    </xdr:from>
    <xdr:to>
      <xdr:col>11</xdr:col>
      <xdr:colOff>283318</xdr:colOff>
      <xdr:row>2</xdr:row>
      <xdr:rowOff>104775</xdr:rowOff>
    </xdr:to>
    <xdr:sp macro="" textlink="">
      <xdr:nvSpPr>
        <xdr:cNvPr id="107" name="稻壳儿：耗崽设计">
          <a:extLst>
            <a:ext uri="{FF2B5EF4-FFF2-40B4-BE49-F238E27FC236}">
              <a16:creationId xmlns:a16="http://schemas.microsoft.com/office/drawing/2014/main" id="{43AD5A5B-4033-4B60-832D-418E67CD77B4}"/>
            </a:ext>
          </a:extLst>
        </xdr:cNvPr>
        <xdr:cNvSpPr txBox="1"/>
      </xdr:nvSpPr>
      <xdr:spPr>
        <a:xfrm>
          <a:off x="2446680" y="8282"/>
          <a:ext cx="5380438" cy="458443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/>
          <a:r>
            <a:rPr lang="en-US" altLang="zh-CN" sz="2400" b="1">
              <a:solidFill>
                <a:schemeClr val="tx1"/>
              </a:solidFill>
              <a:latin typeface="方正楷体简体" panose="03000509000000000000" pitchFamily="2" charset="-122"/>
              <a:ea typeface="方正楷体简体" panose="03000509000000000000" pitchFamily="2" charset="-122"/>
            </a:rPr>
            <a:t>KPI</a:t>
          </a:r>
          <a:r>
            <a:rPr lang="zh-CN" altLang="en-US" sz="2400" b="1">
              <a:solidFill>
                <a:schemeClr val="tx1"/>
              </a:solidFill>
              <a:latin typeface="方正楷体简体" panose="03000509000000000000" pitchFamily="2" charset="-122"/>
              <a:ea typeface="方正楷体简体" panose="03000509000000000000" pitchFamily="2" charset="-122"/>
            </a:rPr>
            <a:t>指标分析可视化数据看板</a:t>
          </a:r>
        </a:p>
      </xdr:txBody>
    </xdr:sp>
    <xdr:clientData/>
  </xdr:twoCellAnchor>
  <xdr:twoCellAnchor>
    <xdr:from>
      <xdr:col>0</xdr:col>
      <xdr:colOff>233647</xdr:colOff>
      <xdr:row>0</xdr:row>
      <xdr:rowOff>85461</xdr:rowOff>
    </xdr:from>
    <xdr:to>
      <xdr:col>0</xdr:col>
      <xdr:colOff>497147</xdr:colOff>
      <xdr:row>2</xdr:row>
      <xdr:rowOff>27724</xdr:rowOff>
    </xdr:to>
    <xdr:grpSp>
      <xdr:nvGrpSpPr>
        <xdr:cNvPr id="108" name="组合 107">
          <a:extLst>
            <a:ext uri="{FF2B5EF4-FFF2-40B4-BE49-F238E27FC236}">
              <a16:creationId xmlns:a16="http://schemas.microsoft.com/office/drawing/2014/main" id="{BEBD4C12-9CFC-49E6-B278-D4DF924C3224}"/>
            </a:ext>
          </a:extLst>
        </xdr:cNvPr>
        <xdr:cNvGrpSpPr/>
      </xdr:nvGrpSpPr>
      <xdr:grpSpPr>
        <a:xfrm>
          <a:off x="233647" y="85461"/>
          <a:ext cx="263500" cy="306698"/>
          <a:chOff x="1647598" y="2485829"/>
          <a:chExt cx="4494106" cy="5204928"/>
        </a:xfrm>
      </xdr:grpSpPr>
      <xdr:sp macro="" textlink="">
        <xdr:nvSpPr>
          <xdr:cNvPr id="109" name="稻壳儿：耗崽设计">
            <a:extLst>
              <a:ext uri="{FF2B5EF4-FFF2-40B4-BE49-F238E27FC236}">
                <a16:creationId xmlns:a16="http://schemas.microsoft.com/office/drawing/2014/main" id="{B05E6CB0-CD30-475D-9ECC-552DA586C5E2}"/>
              </a:ext>
            </a:extLst>
          </xdr:cNvPr>
          <xdr:cNvSpPr/>
        </xdr:nvSpPr>
        <xdr:spPr>
          <a:xfrm>
            <a:off x="1647598" y="2485829"/>
            <a:ext cx="4494106" cy="5204928"/>
          </a:xfrm>
          <a:custGeom>
            <a:avLst/>
            <a:gdLst>
              <a:gd name="T0" fmla="*/ 5270 w 10784"/>
              <a:gd name="T1" fmla="*/ 59 h 12025"/>
              <a:gd name="T2" fmla="*/ 3862 w 10784"/>
              <a:gd name="T3" fmla="*/ 720 h 12025"/>
              <a:gd name="T4" fmla="*/ 1350 w 10784"/>
              <a:gd name="T5" fmla="*/ 2168 h 12025"/>
              <a:gd name="T6" fmla="*/ 161 w 10784"/>
              <a:gd name="T7" fmla="*/ 3156 h 12025"/>
              <a:gd name="T8" fmla="*/ 54 w 10784"/>
              <a:gd name="T9" fmla="*/ 4324 h 12025"/>
              <a:gd name="T10" fmla="*/ 54 w 10784"/>
              <a:gd name="T11" fmla="*/ 6452 h 12025"/>
              <a:gd name="T12" fmla="*/ 54 w 10784"/>
              <a:gd name="T13" fmla="*/ 7940 h 12025"/>
              <a:gd name="T14" fmla="*/ 234 w 10784"/>
              <a:gd name="T15" fmla="*/ 9012 h 12025"/>
              <a:gd name="T16" fmla="*/ 1158 w 10784"/>
              <a:gd name="T17" fmla="*/ 9746 h 12025"/>
              <a:gd name="T18" fmla="*/ 2662 w 10784"/>
              <a:gd name="T19" fmla="*/ 10613 h 12025"/>
              <a:gd name="T20" fmla="*/ 4198 w 10784"/>
              <a:gd name="T21" fmla="*/ 11499 h 12025"/>
              <a:gd name="T22" fmla="*/ 5606 w 10784"/>
              <a:gd name="T23" fmla="*/ 11952 h 12025"/>
              <a:gd name="T24" fmla="*/ 6278 w 10784"/>
              <a:gd name="T25" fmla="*/ 11675 h 12025"/>
              <a:gd name="T26" fmla="*/ 6902 w 10784"/>
              <a:gd name="T27" fmla="*/ 11314 h 12025"/>
              <a:gd name="T28" fmla="*/ 9446 w 10784"/>
              <a:gd name="T29" fmla="*/ 9849 h 12025"/>
              <a:gd name="T30" fmla="*/ 10341 w 10784"/>
              <a:gd name="T31" fmla="*/ 9282 h 12025"/>
              <a:gd name="T32" fmla="*/ 10640 w 10784"/>
              <a:gd name="T33" fmla="*/ 8820 h 12025"/>
              <a:gd name="T34" fmla="*/ 10726 w 10784"/>
              <a:gd name="T35" fmla="*/ 7700 h 12025"/>
              <a:gd name="T36" fmla="*/ 10726 w 10784"/>
              <a:gd name="T37" fmla="*/ 5572 h 12025"/>
              <a:gd name="T38" fmla="*/ 10726 w 10784"/>
              <a:gd name="T39" fmla="*/ 4068 h 12025"/>
              <a:gd name="T40" fmla="*/ 10566 w 10784"/>
              <a:gd name="T41" fmla="*/ 3044 h 12025"/>
              <a:gd name="T42" fmla="*/ 9622 w 10784"/>
              <a:gd name="T43" fmla="*/ 2279 h 12025"/>
              <a:gd name="T44" fmla="*/ 8118 w 10784"/>
              <a:gd name="T45" fmla="*/ 1412 h 12025"/>
              <a:gd name="T46" fmla="*/ 6470 w 10784"/>
              <a:gd name="T47" fmla="*/ 462 h 12025"/>
              <a:gd name="T48" fmla="*/ 5270 w 10784"/>
              <a:gd name="T49" fmla="*/ 59 h 120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</a:cxnLst>
            <a:rect l="0" t="0" r="r" b="b"/>
            <a:pathLst>
              <a:path w="10784" h="12025">
                <a:moveTo>
                  <a:pt x="5270" y="59"/>
                </a:moveTo>
                <a:cubicBezTo>
                  <a:pt x="4749" y="129"/>
                  <a:pt x="4311" y="465"/>
                  <a:pt x="3862" y="720"/>
                </a:cubicBezTo>
                <a:cubicBezTo>
                  <a:pt x="3023" y="1197"/>
                  <a:pt x="2180" y="1673"/>
                  <a:pt x="1350" y="2168"/>
                </a:cubicBezTo>
                <a:cubicBezTo>
                  <a:pt x="899" y="2437"/>
                  <a:pt x="385" y="2644"/>
                  <a:pt x="161" y="3156"/>
                </a:cubicBezTo>
                <a:cubicBezTo>
                  <a:pt x="0" y="3524"/>
                  <a:pt x="54" y="3933"/>
                  <a:pt x="54" y="4324"/>
                </a:cubicBezTo>
                <a:lnTo>
                  <a:pt x="54" y="6452"/>
                </a:lnTo>
                <a:lnTo>
                  <a:pt x="54" y="7940"/>
                </a:lnTo>
                <a:cubicBezTo>
                  <a:pt x="54" y="8322"/>
                  <a:pt x="29" y="8671"/>
                  <a:pt x="234" y="9012"/>
                </a:cubicBezTo>
                <a:cubicBezTo>
                  <a:pt x="448" y="9371"/>
                  <a:pt x="809" y="9546"/>
                  <a:pt x="1158" y="9746"/>
                </a:cubicBezTo>
                <a:cubicBezTo>
                  <a:pt x="1660" y="10034"/>
                  <a:pt x="2164" y="10320"/>
                  <a:pt x="2662" y="10613"/>
                </a:cubicBezTo>
                <a:cubicBezTo>
                  <a:pt x="3172" y="10912"/>
                  <a:pt x="3687" y="11203"/>
                  <a:pt x="4198" y="11499"/>
                </a:cubicBezTo>
                <a:cubicBezTo>
                  <a:pt x="4653" y="11763"/>
                  <a:pt x="5060" y="12025"/>
                  <a:pt x="5606" y="11952"/>
                </a:cubicBezTo>
                <a:cubicBezTo>
                  <a:pt x="5853" y="11919"/>
                  <a:pt x="6066" y="11797"/>
                  <a:pt x="6278" y="11675"/>
                </a:cubicBezTo>
                <a:cubicBezTo>
                  <a:pt x="6487" y="11556"/>
                  <a:pt x="6694" y="11434"/>
                  <a:pt x="6902" y="11314"/>
                </a:cubicBezTo>
                <a:cubicBezTo>
                  <a:pt x="7751" y="10827"/>
                  <a:pt x="8596" y="10333"/>
                  <a:pt x="9446" y="9849"/>
                </a:cubicBezTo>
                <a:cubicBezTo>
                  <a:pt x="9746" y="9679"/>
                  <a:pt x="10092" y="9523"/>
                  <a:pt x="10341" y="9282"/>
                </a:cubicBezTo>
                <a:cubicBezTo>
                  <a:pt x="10473" y="9153"/>
                  <a:pt x="10569" y="8989"/>
                  <a:pt x="10640" y="8820"/>
                </a:cubicBezTo>
                <a:cubicBezTo>
                  <a:pt x="10784" y="8473"/>
                  <a:pt x="10726" y="8069"/>
                  <a:pt x="10726" y="7700"/>
                </a:cubicBezTo>
                <a:lnTo>
                  <a:pt x="10726" y="5572"/>
                </a:lnTo>
                <a:lnTo>
                  <a:pt x="10726" y="4068"/>
                </a:lnTo>
                <a:cubicBezTo>
                  <a:pt x="10726" y="3710"/>
                  <a:pt x="10753" y="3368"/>
                  <a:pt x="10566" y="3044"/>
                </a:cubicBezTo>
                <a:cubicBezTo>
                  <a:pt x="10349" y="2667"/>
                  <a:pt x="9986" y="2488"/>
                  <a:pt x="9622" y="2279"/>
                </a:cubicBezTo>
                <a:cubicBezTo>
                  <a:pt x="9121" y="1991"/>
                  <a:pt x="8617" y="1705"/>
                  <a:pt x="8118" y="1412"/>
                </a:cubicBezTo>
                <a:cubicBezTo>
                  <a:pt x="7572" y="1091"/>
                  <a:pt x="7019" y="780"/>
                  <a:pt x="6470" y="462"/>
                </a:cubicBezTo>
                <a:cubicBezTo>
                  <a:pt x="6103" y="249"/>
                  <a:pt x="5717" y="0"/>
                  <a:pt x="5270" y="59"/>
                </a:cubicBezTo>
                <a:close/>
              </a:path>
            </a:pathLst>
          </a:custGeom>
          <a:solidFill>
            <a:schemeClr val="bg1"/>
          </a:solidFill>
          <a:ln w="0">
            <a:noFill/>
            <a:prstDash val="solid"/>
            <a:round/>
          </a:ln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 sz="700">
              <a:solidFill>
                <a:schemeClr val="bg1"/>
              </a:solidFill>
            </a:endParaRPr>
          </a:p>
        </xdr:txBody>
      </xdr:sp>
      <xdr:grpSp>
        <xdr:nvGrpSpPr>
          <xdr:cNvPr id="110" name="组合 109">
            <a:extLst>
              <a:ext uri="{FF2B5EF4-FFF2-40B4-BE49-F238E27FC236}">
                <a16:creationId xmlns:a16="http://schemas.microsoft.com/office/drawing/2014/main" id="{E36C8577-03C5-4A41-B00B-4C1D437E9786}"/>
              </a:ext>
            </a:extLst>
          </xdr:cNvPr>
          <xdr:cNvGrpSpPr/>
        </xdr:nvGrpSpPr>
        <xdr:grpSpPr>
          <a:xfrm>
            <a:off x="2540268" y="3168650"/>
            <a:ext cx="2735550" cy="3729278"/>
            <a:chOff x="2540268" y="3168650"/>
            <a:chExt cx="2735550" cy="3729278"/>
          </a:xfrm>
        </xdr:grpSpPr>
        <xdr:sp macro="" textlink="">
          <xdr:nvSpPr>
            <xdr:cNvPr id="111" name="稻壳儿：耗崽设计">
              <a:extLst>
                <a:ext uri="{FF2B5EF4-FFF2-40B4-BE49-F238E27FC236}">
                  <a16:creationId xmlns:a16="http://schemas.microsoft.com/office/drawing/2014/main" id="{8E554BF5-B8E0-49DB-9515-E42A52710094}"/>
                </a:ext>
              </a:extLst>
            </xdr:cNvPr>
            <xdr:cNvSpPr/>
          </xdr:nvSpPr>
          <xdr:spPr>
            <a:xfrm>
              <a:off x="3448400" y="3168650"/>
              <a:ext cx="944558" cy="2584453"/>
            </a:xfrm>
            <a:custGeom>
              <a:avLst/>
              <a:gdLst>
                <a:gd name="T0" fmla="*/ 888 w 1596"/>
                <a:gd name="T1" fmla="*/ 0 h 4368"/>
                <a:gd name="T2" fmla="*/ 75 w 1596"/>
                <a:gd name="T3" fmla="*/ 2096 h 4368"/>
                <a:gd name="T4" fmla="*/ 600 w 1596"/>
                <a:gd name="T5" fmla="*/ 4368 h 4368"/>
                <a:gd name="T6" fmla="*/ 820 w 1596"/>
                <a:gd name="T7" fmla="*/ 4112 h 4368"/>
                <a:gd name="T8" fmla="*/ 1183 w 1596"/>
                <a:gd name="T9" fmla="*/ 3408 h 4368"/>
                <a:gd name="T10" fmla="*/ 1299 w 1596"/>
                <a:gd name="T11" fmla="*/ 752 h 4368"/>
                <a:gd name="T12" fmla="*/ 920 w 1596"/>
                <a:gd name="T13" fmla="*/ 0 h 4368"/>
                <a:gd name="T14" fmla="*/ 888 w 1596"/>
                <a:gd name="T15" fmla="*/ 0 h 436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1596" h="4368">
                  <a:moveTo>
                    <a:pt x="888" y="0"/>
                  </a:moveTo>
                  <a:cubicBezTo>
                    <a:pt x="459" y="631"/>
                    <a:pt x="148" y="1330"/>
                    <a:pt x="75" y="2096"/>
                  </a:cubicBezTo>
                  <a:cubicBezTo>
                    <a:pt x="0" y="2882"/>
                    <a:pt x="239" y="3681"/>
                    <a:pt x="600" y="4368"/>
                  </a:cubicBezTo>
                  <a:cubicBezTo>
                    <a:pt x="702" y="4319"/>
                    <a:pt x="760" y="4205"/>
                    <a:pt x="820" y="4112"/>
                  </a:cubicBezTo>
                  <a:cubicBezTo>
                    <a:pt x="963" y="3891"/>
                    <a:pt x="1085" y="3654"/>
                    <a:pt x="1183" y="3408"/>
                  </a:cubicBezTo>
                  <a:cubicBezTo>
                    <a:pt x="1515" y="2572"/>
                    <a:pt x="1596" y="1611"/>
                    <a:pt x="1299" y="752"/>
                  </a:cubicBezTo>
                  <a:cubicBezTo>
                    <a:pt x="1206" y="483"/>
                    <a:pt x="1070" y="242"/>
                    <a:pt x="920" y="0"/>
                  </a:cubicBezTo>
                  <a:lnTo>
                    <a:pt x="888" y="0"/>
                  </a:lnTo>
                  <a:close/>
                </a:path>
              </a:pathLst>
            </a:custGeom>
            <a:solidFill>
              <a:srgbClr val="2B3044"/>
            </a:solidFill>
            <a:ln w="0">
              <a:noFill/>
              <a:prstDash val="solid"/>
              <a:round/>
            </a:ln>
          </xdr:spPr>
          <xdr:txBody>
            <a:bodyPr vert="horz" wrap="square" lIns="91440" tIns="45720" rIns="91440" bIns="45720" numCol="1" anchor="t" anchorCtr="0" compatLnSpc="1"/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zh-CN" altLang="en-US" sz="700">
                <a:solidFill>
                  <a:schemeClr val="bg1"/>
                </a:solidFill>
              </a:endParaRPr>
            </a:p>
          </xdr:txBody>
        </xdr:sp>
        <xdr:grpSp>
          <xdr:nvGrpSpPr>
            <xdr:cNvPr id="112" name="Group 607">
              <a:extLst>
                <a:ext uri="{FF2B5EF4-FFF2-40B4-BE49-F238E27FC236}">
                  <a16:creationId xmlns:a16="http://schemas.microsoft.com/office/drawing/2014/main" id="{02FFC06A-D275-4936-B876-7D71833E3706}"/>
                </a:ext>
              </a:extLst>
            </xdr:cNvPr>
            <xdr:cNvGrpSpPr/>
          </xdr:nvGrpSpPr>
          <xdr:grpSpPr>
            <a:xfrm>
              <a:off x="2540268" y="3948250"/>
              <a:ext cx="2735550" cy="2949678"/>
              <a:chOff x="1600" y="2487"/>
              <a:chExt cx="1723" cy="1858"/>
            </a:xfrm>
          </xdr:grpSpPr>
          <xdr:sp macro="" textlink="">
            <xdr:nvSpPr>
              <xdr:cNvPr id="113" name="稻壳儿：耗崽设计">
                <a:extLst>
                  <a:ext uri="{FF2B5EF4-FFF2-40B4-BE49-F238E27FC236}">
                    <a16:creationId xmlns:a16="http://schemas.microsoft.com/office/drawing/2014/main" id="{CC0C3D0B-AAA4-4AF1-8109-5DD34AFD8FA9}"/>
                  </a:ext>
                </a:extLst>
              </xdr:cNvPr>
              <xdr:cNvSpPr/>
            </xdr:nvSpPr>
            <xdr:spPr>
              <a:xfrm>
                <a:off x="2621" y="2487"/>
                <a:ext cx="3" cy="9"/>
              </a:xfrm>
              <a:custGeom>
                <a:avLst/>
                <a:gdLst>
                  <a:gd name="T0" fmla="*/ 2 w 9"/>
                  <a:gd name="T1" fmla="*/ 7 h 25"/>
                  <a:gd name="T2" fmla="*/ 7 w 9"/>
                  <a:gd name="T3" fmla="*/ 18 h 25"/>
                  <a:gd name="T4" fmla="*/ 2 w 9"/>
                  <a:gd name="T5" fmla="*/ 7 h 2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9" h="25">
                    <a:moveTo>
                      <a:pt x="2" y="7"/>
                    </a:moveTo>
                    <a:cubicBezTo>
                      <a:pt x="1" y="8"/>
                      <a:pt x="0" y="25"/>
                      <a:pt x="7" y="18"/>
                    </a:cubicBezTo>
                    <a:cubicBezTo>
                      <a:pt x="8" y="17"/>
                      <a:pt x="9" y="0"/>
                      <a:pt x="2" y="7"/>
                    </a:cubicBezTo>
                  </a:path>
                </a:pathLst>
              </a:custGeom>
              <a:solidFill>
                <a:srgbClr val="FEDDD9"/>
              </a:solidFill>
              <a:ln w="0">
                <a:noFill/>
                <a:prstDash val="solid"/>
                <a:round/>
              </a:ln>
            </xdr:spPr>
            <xdr:txBody>
              <a:bodyPr vert="horz" wrap="square" lIns="91440" tIns="45720" rIns="91440" bIns="45720" numCol="1" anchor="t" anchorCtr="0" compatLnSpc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 sz="700">
                  <a:solidFill>
                    <a:schemeClr val="bg1"/>
                  </a:solidFill>
                </a:endParaRPr>
              </a:p>
            </xdr:txBody>
          </xdr:sp>
          <xdr:sp macro="" textlink="">
            <xdr:nvSpPr>
              <xdr:cNvPr id="114" name="稻壳儿：耗崽设计Freeform 441">
                <a:extLst>
                  <a:ext uri="{FF2B5EF4-FFF2-40B4-BE49-F238E27FC236}">
                    <a16:creationId xmlns:a16="http://schemas.microsoft.com/office/drawing/2014/main" id="{9280B444-15FF-4195-8DEA-D080EC43CE06}"/>
                  </a:ext>
                </a:extLst>
              </xdr:cNvPr>
              <xdr:cNvSpPr/>
            </xdr:nvSpPr>
            <xdr:spPr>
              <a:xfrm>
                <a:off x="2150" y="2558"/>
                <a:ext cx="3" cy="10"/>
              </a:xfrm>
              <a:custGeom>
                <a:avLst/>
                <a:gdLst>
                  <a:gd name="T0" fmla="*/ 2 w 9"/>
                  <a:gd name="T1" fmla="*/ 7 h 25"/>
                  <a:gd name="T2" fmla="*/ 7 w 9"/>
                  <a:gd name="T3" fmla="*/ 18 h 25"/>
                  <a:gd name="T4" fmla="*/ 2 w 9"/>
                  <a:gd name="T5" fmla="*/ 7 h 2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9" h="25">
                    <a:moveTo>
                      <a:pt x="2" y="7"/>
                    </a:moveTo>
                    <a:cubicBezTo>
                      <a:pt x="1" y="8"/>
                      <a:pt x="0" y="25"/>
                      <a:pt x="7" y="18"/>
                    </a:cubicBezTo>
                    <a:cubicBezTo>
                      <a:pt x="8" y="17"/>
                      <a:pt x="9" y="0"/>
                      <a:pt x="2" y="7"/>
                    </a:cubicBezTo>
                  </a:path>
                </a:pathLst>
              </a:custGeom>
              <a:solidFill>
                <a:srgbClr val="FFE8DD"/>
              </a:solidFill>
              <a:ln w="0">
                <a:noFill/>
                <a:prstDash val="solid"/>
                <a:round/>
              </a:ln>
            </xdr:spPr>
            <xdr:txBody>
              <a:bodyPr vert="horz" wrap="square" lIns="91440" tIns="45720" rIns="91440" bIns="45720" numCol="1" anchor="t" anchorCtr="0" compatLnSpc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 sz="700">
                  <a:solidFill>
                    <a:schemeClr val="bg1"/>
                  </a:solidFill>
                </a:endParaRPr>
              </a:p>
            </xdr:txBody>
          </xdr:sp>
          <xdr:sp macro="" textlink="">
            <xdr:nvSpPr>
              <xdr:cNvPr id="115" name="稻壳儿：耗崽设计">
                <a:extLst>
                  <a:ext uri="{FF2B5EF4-FFF2-40B4-BE49-F238E27FC236}">
                    <a16:creationId xmlns:a16="http://schemas.microsoft.com/office/drawing/2014/main" id="{36CED157-A444-4762-B56F-ECC8892DA29D}"/>
                  </a:ext>
                </a:extLst>
              </xdr:cNvPr>
              <xdr:cNvSpPr/>
            </xdr:nvSpPr>
            <xdr:spPr>
              <a:xfrm>
                <a:off x="1600" y="2628"/>
                <a:ext cx="603" cy="1711"/>
              </a:xfrm>
              <a:custGeom>
                <a:avLst/>
                <a:gdLst>
                  <a:gd name="T0" fmla="*/ 962 w 1619"/>
                  <a:gd name="T1" fmla="*/ 0 h 4592"/>
                  <a:gd name="T2" fmla="*/ 153 w 1619"/>
                  <a:gd name="T3" fmla="*/ 2672 h 4592"/>
                  <a:gd name="T4" fmla="*/ 598 w 1619"/>
                  <a:gd name="T5" fmla="*/ 3792 h 4592"/>
                  <a:gd name="T6" fmla="*/ 981 w 1619"/>
                  <a:gd name="T7" fmla="*/ 4368 h 4592"/>
                  <a:gd name="T8" fmla="*/ 1186 w 1619"/>
                  <a:gd name="T9" fmla="*/ 4592 h 4592"/>
                  <a:gd name="T10" fmla="*/ 1589 w 1619"/>
                  <a:gd name="T11" fmla="*/ 3360 h 4592"/>
                  <a:gd name="T12" fmla="*/ 1578 w 1619"/>
                  <a:gd name="T13" fmla="*/ 2800 h 4592"/>
                  <a:gd name="T14" fmla="*/ 1321 w 1619"/>
                  <a:gd name="T15" fmla="*/ 2256 h 4592"/>
                  <a:gd name="T16" fmla="*/ 1066 w 1619"/>
                  <a:gd name="T17" fmla="*/ 1360 h 4592"/>
                  <a:gd name="T18" fmla="*/ 978 w 1619"/>
                  <a:gd name="T19" fmla="*/ 512 h 4592"/>
                  <a:gd name="T20" fmla="*/ 978 w 1619"/>
                  <a:gd name="T21" fmla="*/ 176 h 4592"/>
                  <a:gd name="T22" fmla="*/ 962 w 1619"/>
                  <a:gd name="T23" fmla="*/ 0 h 459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</a:cxnLst>
                <a:rect l="0" t="0" r="r" b="b"/>
                <a:pathLst>
                  <a:path w="1619" h="4592">
                    <a:moveTo>
                      <a:pt x="962" y="0"/>
                    </a:moveTo>
                    <a:cubicBezTo>
                      <a:pt x="419" y="759"/>
                      <a:pt x="0" y="1720"/>
                      <a:pt x="153" y="2672"/>
                    </a:cubicBezTo>
                    <a:cubicBezTo>
                      <a:pt x="217" y="3068"/>
                      <a:pt x="394" y="3451"/>
                      <a:pt x="598" y="3792"/>
                    </a:cubicBezTo>
                    <a:cubicBezTo>
                      <a:pt x="716" y="3991"/>
                      <a:pt x="841" y="4183"/>
                      <a:pt x="981" y="4368"/>
                    </a:cubicBezTo>
                    <a:cubicBezTo>
                      <a:pt x="1041" y="4449"/>
                      <a:pt x="1095" y="4548"/>
                      <a:pt x="1186" y="4592"/>
                    </a:cubicBezTo>
                    <a:cubicBezTo>
                      <a:pt x="1405" y="4219"/>
                      <a:pt x="1543" y="3790"/>
                      <a:pt x="1589" y="3360"/>
                    </a:cubicBezTo>
                    <a:cubicBezTo>
                      <a:pt x="1609" y="3178"/>
                      <a:pt x="1619" y="2981"/>
                      <a:pt x="1578" y="2800"/>
                    </a:cubicBezTo>
                    <a:cubicBezTo>
                      <a:pt x="1536" y="2611"/>
                      <a:pt x="1398" y="2436"/>
                      <a:pt x="1321" y="2256"/>
                    </a:cubicBezTo>
                    <a:cubicBezTo>
                      <a:pt x="1199" y="1970"/>
                      <a:pt x="1126" y="1664"/>
                      <a:pt x="1066" y="1360"/>
                    </a:cubicBezTo>
                    <a:cubicBezTo>
                      <a:pt x="1011" y="1087"/>
                      <a:pt x="978" y="791"/>
                      <a:pt x="978" y="512"/>
                    </a:cubicBezTo>
                    <a:lnTo>
                      <a:pt x="978" y="176"/>
                    </a:lnTo>
                    <a:cubicBezTo>
                      <a:pt x="978" y="117"/>
                      <a:pt x="986" y="55"/>
                      <a:pt x="962" y="0"/>
                    </a:cubicBezTo>
                    <a:close/>
                  </a:path>
                </a:pathLst>
              </a:custGeom>
              <a:solidFill>
                <a:srgbClr val="2B3044"/>
              </a:solidFill>
              <a:ln w="0">
                <a:noFill/>
                <a:prstDash val="solid"/>
                <a:round/>
              </a:ln>
            </xdr:spPr>
            <xdr:txBody>
              <a:bodyPr vert="horz" wrap="square" lIns="91440" tIns="45720" rIns="91440" bIns="45720" numCol="1" anchor="t" anchorCtr="0" compatLnSpc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 sz="700">
                  <a:solidFill>
                    <a:schemeClr val="bg1"/>
                  </a:solidFill>
                </a:endParaRPr>
              </a:p>
            </xdr:txBody>
          </xdr:sp>
          <xdr:sp macro="" textlink="">
            <xdr:nvSpPr>
              <xdr:cNvPr id="116" name="稻壳儿：耗崽设计">
                <a:extLst>
                  <a:ext uri="{FF2B5EF4-FFF2-40B4-BE49-F238E27FC236}">
                    <a16:creationId xmlns:a16="http://schemas.microsoft.com/office/drawing/2014/main" id="{B00C2AB2-D54B-4084-A742-A95A90351458}"/>
                  </a:ext>
                </a:extLst>
              </xdr:cNvPr>
              <xdr:cNvSpPr/>
            </xdr:nvSpPr>
            <xdr:spPr>
              <a:xfrm>
                <a:off x="2126" y="2672"/>
                <a:ext cx="4" cy="9"/>
              </a:xfrm>
              <a:custGeom>
                <a:avLst/>
                <a:gdLst>
                  <a:gd name="T0" fmla="*/ 2 w 9"/>
                  <a:gd name="T1" fmla="*/ 7 h 25"/>
                  <a:gd name="T2" fmla="*/ 7 w 9"/>
                  <a:gd name="T3" fmla="*/ 18 h 25"/>
                  <a:gd name="T4" fmla="*/ 2 w 9"/>
                  <a:gd name="T5" fmla="*/ 7 h 2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9" h="25">
                    <a:moveTo>
                      <a:pt x="2" y="7"/>
                    </a:moveTo>
                    <a:cubicBezTo>
                      <a:pt x="1" y="8"/>
                      <a:pt x="0" y="25"/>
                      <a:pt x="7" y="18"/>
                    </a:cubicBezTo>
                    <a:cubicBezTo>
                      <a:pt x="8" y="17"/>
                      <a:pt x="9" y="0"/>
                      <a:pt x="2" y="7"/>
                    </a:cubicBezTo>
                  </a:path>
                </a:pathLst>
              </a:custGeom>
              <a:solidFill>
                <a:srgbClr val="FFE5DD"/>
              </a:solidFill>
              <a:ln w="0">
                <a:noFill/>
                <a:prstDash val="solid"/>
                <a:round/>
              </a:ln>
            </xdr:spPr>
            <xdr:txBody>
              <a:bodyPr vert="horz" wrap="square" lIns="91440" tIns="45720" rIns="91440" bIns="45720" numCol="1" anchor="t" anchorCtr="0" compatLnSpc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 sz="700">
                  <a:solidFill>
                    <a:schemeClr val="bg1"/>
                  </a:solidFill>
                </a:endParaRPr>
              </a:p>
            </xdr:txBody>
          </xdr:sp>
          <xdr:sp macro="" textlink="">
            <xdr:nvSpPr>
              <xdr:cNvPr id="117" name="稻壳儿：耗崽设计">
                <a:extLst>
                  <a:ext uri="{FF2B5EF4-FFF2-40B4-BE49-F238E27FC236}">
                    <a16:creationId xmlns:a16="http://schemas.microsoft.com/office/drawing/2014/main" id="{D3B73F40-782F-4FCB-BECD-3125038444A8}"/>
                  </a:ext>
                </a:extLst>
              </xdr:cNvPr>
              <xdr:cNvSpPr/>
            </xdr:nvSpPr>
            <xdr:spPr>
              <a:xfrm>
                <a:off x="1983" y="3053"/>
                <a:ext cx="4" cy="9"/>
              </a:xfrm>
              <a:custGeom>
                <a:avLst/>
                <a:gdLst>
                  <a:gd name="T0" fmla="*/ 2 w 9"/>
                  <a:gd name="T1" fmla="*/ 7 h 25"/>
                  <a:gd name="T2" fmla="*/ 7 w 9"/>
                  <a:gd name="T3" fmla="*/ 18 h 25"/>
                  <a:gd name="T4" fmla="*/ 2 w 9"/>
                  <a:gd name="T5" fmla="*/ 7 h 2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9" h="25">
                    <a:moveTo>
                      <a:pt x="2" y="7"/>
                    </a:moveTo>
                    <a:cubicBezTo>
                      <a:pt x="1" y="8"/>
                      <a:pt x="0" y="25"/>
                      <a:pt x="7" y="18"/>
                    </a:cubicBezTo>
                    <a:cubicBezTo>
                      <a:pt x="8" y="17"/>
                      <a:pt x="9" y="0"/>
                      <a:pt x="2" y="7"/>
                    </a:cubicBezTo>
                  </a:path>
                </a:pathLst>
              </a:custGeom>
              <a:solidFill>
                <a:srgbClr val="FFD9CB"/>
              </a:solidFill>
              <a:ln w="0">
                <a:noFill/>
                <a:prstDash val="solid"/>
                <a:round/>
              </a:ln>
            </xdr:spPr>
            <xdr:txBody>
              <a:bodyPr vert="horz" wrap="square" lIns="91440" tIns="45720" rIns="91440" bIns="45720" numCol="1" anchor="t" anchorCtr="0" compatLnSpc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 sz="700">
                  <a:solidFill>
                    <a:schemeClr val="bg1"/>
                  </a:solidFill>
                </a:endParaRPr>
              </a:p>
            </xdr:txBody>
          </xdr:sp>
          <xdr:sp macro="" textlink="">
            <xdr:nvSpPr>
              <xdr:cNvPr id="118" name="稻壳儿：耗崽设计">
                <a:extLst>
                  <a:ext uri="{FF2B5EF4-FFF2-40B4-BE49-F238E27FC236}">
                    <a16:creationId xmlns:a16="http://schemas.microsoft.com/office/drawing/2014/main" id="{62D6AC5F-C594-4837-A580-85CC92DF81C6}"/>
                  </a:ext>
                </a:extLst>
              </xdr:cNvPr>
              <xdr:cNvSpPr/>
            </xdr:nvSpPr>
            <xdr:spPr>
              <a:xfrm>
                <a:off x="1989" y="3095"/>
                <a:ext cx="4" cy="9"/>
              </a:xfrm>
              <a:custGeom>
                <a:avLst/>
                <a:gdLst>
                  <a:gd name="T0" fmla="*/ 2 w 9"/>
                  <a:gd name="T1" fmla="*/ 7 h 25"/>
                  <a:gd name="T2" fmla="*/ 7 w 9"/>
                  <a:gd name="T3" fmla="*/ 18 h 25"/>
                  <a:gd name="T4" fmla="*/ 2 w 9"/>
                  <a:gd name="T5" fmla="*/ 7 h 2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9" h="25">
                    <a:moveTo>
                      <a:pt x="2" y="7"/>
                    </a:moveTo>
                    <a:cubicBezTo>
                      <a:pt x="1" y="8"/>
                      <a:pt x="0" y="25"/>
                      <a:pt x="7" y="18"/>
                    </a:cubicBezTo>
                    <a:cubicBezTo>
                      <a:pt x="8" y="17"/>
                      <a:pt x="9" y="0"/>
                      <a:pt x="2" y="7"/>
                    </a:cubicBezTo>
                  </a:path>
                </a:pathLst>
              </a:custGeom>
              <a:solidFill>
                <a:srgbClr val="F8E5DC"/>
              </a:solidFill>
              <a:ln w="0">
                <a:noFill/>
                <a:prstDash val="solid"/>
                <a:round/>
              </a:ln>
            </xdr:spPr>
            <xdr:txBody>
              <a:bodyPr vert="horz" wrap="square" lIns="91440" tIns="45720" rIns="91440" bIns="45720" numCol="1" anchor="t" anchorCtr="0" compatLnSpc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 sz="700">
                  <a:solidFill>
                    <a:schemeClr val="bg1"/>
                  </a:solidFill>
                </a:endParaRPr>
              </a:p>
            </xdr:txBody>
          </xdr:sp>
          <xdr:sp macro="" textlink="">
            <xdr:nvSpPr>
              <xdr:cNvPr id="119" name="稻壳儿：耗崽设计">
                <a:extLst>
                  <a:ext uri="{FF2B5EF4-FFF2-40B4-BE49-F238E27FC236}">
                    <a16:creationId xmlns:a16="http://schemas.microsoft.com/office/drawing/2014/main" id="{2D0F182C-E195-4DC1-8B6B-77569B34DEBE}"/>
                  </a:ext>
                </a:extLst>
              </xdr:cNvPr>
              <xdr:cNvSpPr/>
            </xdr:nvSpPr>
            <xdr:spPr>
              <a:xfrm>
                <a:off x="2190" y="3117"/>
                <a:ext cx="1133" cy="1228"/>
              </a:xfrm>
              <a:custGeom>
                <a:avLst/>
                <a:gdLst>
                  <a:gd name="T0" fmla="*/ 3008 w 3041"/>
                  <a:gd name="T1" fmla="*/ 0 h 3296"/>
                  <a:gd name="T2" fmla="*/ 2224 w 3041"/>
                  <a:gd name="T3" fmla="*/ 341 h 3296"/>
                  <a:gd name="T4" fmla="*/ 236 w 3041"/>
                  <a:gd name="T5" fmla="*/ 2352 h 3296"/>
                  <a:gd name="T6" fmla="*/ 0 w 3041"/>
                  <a:gd name="T7" fmla="*/ 3296 h 3296"/>
                  <a:gd name="T8" fmla="*/ 960 w 3041"/>
                  <a:gd name="T9" fmla="*/ 2972 h 3296"/>
                  <a:gd name="T10" fmla="*/ 2716 w 3041"/>
                  <a:gd name="T11" fmla="*/ 1072 h 3296"/>
                  <a:gd name="T12" fmla="*/ 2966 w 3041"/>
                  <a:gd name="T13" fmla="*/ 320 h 3296"/>
                  <a:gd name="T14" fmla="*/ 3008 w 3041"/>
                  <a:gd name="T15" fmla="*/ 0 h 329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3041" h="3296">
                    <a:moveTo>
                      <a:pt x="3008" y="0"/>
                    </a:moveTo>
                    <a:cubicBezTo>
                      <a:pt x="2746" y="117"/>
                      <a:pt x="2479" y="204"/>
                      <a:pt x="2224" y="341"/>
                    </a:cubicBezTo>
                    <a:cubicBezTo>
                      <a:pt x="1389" y="793"/>
                      <a:pt x="618" y="1467"/>
                      <a:pt x="236" y="2352"/>
                    </a:cubicBezTo>
                    <a:cubicBezTo>
                      <a:pt x="109" y="2647"/>
                      <a:pt x="1" y="2972"/>
                      <a:pt x="0" y="3296"/>
                    </a:cubicBezTo>
                    <a:cubicBezTo>
                      <a:pt x="331" y="3211"/>
                      <a:pt x="653" y="3126"/>
                      <a:pt x="960" y="2972"/>
                    </a:cubicBezTo>
                    <a:cubicBezTo>
                      <a:pt x="1759" y="2573"/>
                      <a:pt x="2364" y="1888"/>
                      <a:pt x="2716" y="1072"/>
                    </a:cubicBezTo>
                    <a:cubicBezTo>
                      <a:pt x="2821" y="829"/>
                      <a:pt x="2902" y="578"/>
                      <a:pt x="2966" y="320"/>
                    </a:cubicBezTo>
                    <a:cubicBezTo>
                      <a:pt x="2989" y="229"/>
                      <a:pt x="3041" y="91"/>
                      <a:pt x="3008" y="0"/>
                    </a:cubicBezTo>
                  </a:path>
                </a:pathLst>
              </a:custGeom>
              <a:solidFill>
                <a:srgbClr val="2B3044"/>
              </a:solidFill>
              <a:ln w="0">
                <a:noFill/>
                <a:prstDash val="solid"/>
                <a:round/>
              </a:ln>
            </xdr:spPr>
            <xdr:txBody>
              <a:bodyPr vert="horz" wrap="square" lIns="91440" tIns="45720" rIns="91440" bIns="45720" numCol="1" anchor="t" anchorCtr="0" compatLnSpc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 sz="700">
                  <a:solidFill>
                    <a:schemeClr val="bg1"/>
                  </a:solidFill>
                </a:endParaRPr>
              </a:p>
            </xdr:txBody>
          </xdr:sp>
          <xdr:sp macro="" textlink="">
            <xdr:nvSpPr>
              <xdr:cNvPr id="120" name="稻壳儿：耗崽设计">
                <a:extLst>
                  <a:ext uri="{FF2B5EF4-FFF2-40B4-BE49-F238E27FC236}">
                    <a16:creationId xmlns:a16="http://schemas.microsoft.com/office/drawing/2014/main" id="{C653F856-525E-4DFA-A8FD-2ED80C7DB519}"/>
                  </a:ext>
                </a:extLst>
              </xdr:cNvPr>
              <xdr:cNvSpPr/>
            </xdr:nvSpPr>
            <xdr:spPr>
              <a:xfrm>
                <a:off x="1995" y="3131"/>
                <a:ext cx="3" cy="9"/>
              </a:xfrm>
              <a:custGeom>
                <a:avLst/>
                <a:gdLst>
                  <a:gd name="T0" fmla="*/ 2 w 9"/>
                  <a:gd name="T1" fmla="*/ 7 h 25"/>
                  <a:gd name="T2" fmla="*/ 7 w 9"/>
                  <a:gd name="T3" fmla="*/ 18 h 25"/>
                  <a:gd name="T4" fmla="*/ 2 w 9"/>
                  <a:gd name="T5" fmla="*/ 7 h 2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</a:cxnLst>
                <a:rect l="0" t="0" r="r" b="b"/>
                <a:pathLst>
                  <a:path w="9" h="25">
                    <a:moveTo>
                      <a:pt x="2" y="7"/>
                    </a:moveTo>
                    <a:cubicBezTo>
                      <a:pt x="1" y="8"/>
                      <a:pt x="0" y="25"/>
                      <a:pt x="7" y="18"/>
                    </a:cubicBezTo>
                    <a:cubicBezTo>
                      <a:pt x="8" y="17"/>
                      <a:pt x="9" y="0"/>
                      <a:pt x="2" y="7"/>
                    </a:cubicBezTo>
                  </a:path>
                </a:pathLst>
              </a:custGeom>
              <a:solidFill>
                <a:srgbClr val="FFE2E1"/>
              </a:solidFill>
              <a:ln w="0">
                <a:noFill/>
                <a:prstDash val="solid"/>
                <a:round/>
              </a:ln>
            </xdr:spPr>
            <xdr:txBody>
              <a:bodyPr vert="horz" wrap="square" lIns="91440" tIns="45720" rIns="91440" bIns="45720" numCol="1" anchor="t" anchorCtr="0" compatLnSpc="1"/>
              <a:lstStyle>
                <a:defPPr>
                  <a:defRPr lang="zh-CN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zh-CN" altLang="en-US" sz="700">
                  <a:solidFill>
                    <a:schemeClr val="bg1"/>
                  </a:solidFill>
                </a:endParaRPr>
              </a:p>
            </xdr:txBody>
          </xdr:sp>
        </xdr:grpSp>
      </xdr:grpSp>
    </xdr:grpSp>
    <xdr:clientData/>
  </xdr:twoCellAnchor>
  <xdr:twoCellAnchor>
    <xdr:from>
      <xdr:col>0</xdr:col>
      <xdr:colOff>521023</xdr:colOff>
      <xdr:row>0</xdr:row>
      <xdr:rowOff>29726</xdr:rowOff>
    </xdr:from>
    <xdr:to>
      <xdr:col>2</xdr:col>
      <xdr:colOff>297405</xdr:colOff>
      <xdr:row>2</xdr:row>
      <xdr:rowOff>85211</xdr:rowOff>
    </xdr:to>
    <xdr:grpSp>
      <xdr:nvGrpSpPr>
        <xdr:cNvPr id="121" name="组合 120">
          <a:extLst>
            <a:ext uri="{FF2B5EF4-FFF2-40B4-BE49-F238E27FC236}">
              <a16:creationId xmlns:a16="http://schemas.microsoft.com/office/drawing/2014/main" id="{F9C6A357-5F09-4FCC-B787-1386AC2A3769}"/>
            </a:ext>
          </a:extLst>
        </xdr:cNvPr>
        <xdr:cNvGrpSpPr/>
      </xdr:nvGrpSpPr>
      <xdr:grpSpPr>
        <a:xfrm>
          <a:off x="521023" y="29726"/>
          <a:ext cx="1151295" cy="419920"/>
          <a:chOff x="9064065" y="4933814"/>
          <a:chExt cx="3382896" cy="1229368"/>
        </a:xfrm>
      </xdr:grpSpPr>
      <xdr:sp macro="" textlink="">
        <xdr:nvSpPr>
          <xdr:cNvPr id="122" name="文本框 32">
            <a:extLst>
              <a:ext uri="{FF2B5EF4-FFF2-40B4-BE49-F238E27FC236}">
                <a16:creationId xmlns:a16="http://schemas.microsoft.com/office/drawing/2014/main" id="{FFEBAB89-3C4C-46A4-9AB3-1F79556BEC04}"/>
              </a:ext>
            </a:extLst>
          </xdr:cNvPr>
          <xdr:cNvSpPr txBox="1"/>
        </xdr:nvSpPr>
        <xdr:spPr>
          <a:xfrm>
            <a:off x="9064065" y="4933814"/>
            <a:ext cx="3382896" cy="1014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dist"/>
            <a:r>
              <a:rPr lang="zh-CN" altLang="en-US" sz="1400" spc="300">
                <a:solidFill>
                  <a:schemeClr val="tx1"/>
                </a:solidFill>
                <a:latin typeface="方正楷体简体" panose="02000000000000000000" pitchFamily="2" charset="-122"/>
                <a:ea typeface="方正楷体简体" panose="02000000000000000000" pitchFamily="2" charset="-122"/>
              </a:rPr>
              <a:t>金山办公</a:t>
            </a:r>
          </a:p>
        </xdr:txBody>
      </xdr:sp>
      <xdr:sp macro="" textlink="">
        <xdr:nvSpPr>
          <xdr:cNvPr id="123" name="文本框 33">
            <a:extLst>
              <a:ext uri="{FF2B5EF4-FFF2-40B4-BE49-F238E27FC236}">
                <a16:creationId xmlns:a16="http://schemas.microsoft.com/office/drawing/2014/main" id="{84C72365-8577-4597-8869-8D93C0EBF961}"/>
              </a:ext>
            </a:extLst>
          </xdr:cNvPr>
          <xdr:cNvSpPr txBox="1"/>
        </xdr:nvSpPr>
        <xdr:spPr>
          <a:xfrm>
            <a:off x="9175875" y="5565417"/>
            <a:ext cx="3017807" cy="59776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dist"/>
            <a:r>
              <a:rPr lang="en-US" altLang="zh-CN" sz="600" b="1" spc="300">
                <a:solidFill>
                  <a:schemeClr val="tx1"/>
                </a:solidFill>
                <a:latin typeface="方正楷体简体" panose="02000000000000000000" pitchFamily="2" charset="-122"/>
                <a:ea typeface="方正楷体简体" panose="02000000000000000000" pitchFamily="2" charset="-122"/>
              </a:rPr>
              <a:t>KINGSOFT </a:t>
            </a:r>
            <a:endParaRPr lang="zh-CN" altLang="en-US" sz="600" b="1" spc="300">
              <a:solidFill>
                <a:schemeClr val="tx1"/>
              </a:solidFill>
              <a:latin typeface="方正楷体简体" panose="02000000000000000000" pitchFamily="2" charset="-122"/>
              <a:ea typeface="方正楷体简体" panose="02000000000000000000" pitchFamily="2" charset="-122"/>
            </a:endParaRPr>
          </a:p>
        </xdr:txBody>
      </xdr:sp>
    </xdr:grpSp>
    <xdr:clientData/>
  </xdr:twoCellAnchor>
  <xdr:twoCellAnchor>
    <xdr:from>
      <xdr:col>14</xdr:col>
      <xdr:colOff>57150</xdr:colOff>
      <xdr:row>1</xdr:row>
      <xdr:rowOff>47625</xdr:rowOff>
    </xdr:from>
    <xdr:to>
      <xdr:col>14</xdr:col>
      <xdr:colOff>287991</xdr:colOff>
      <xdr:row>1</xdr:row>
      <xdr:rowOff>155575</xdr:rowOff>
    </xdr:to>
    <xdr:grpSp>
      <xdr:nvGrpSpPr>
        <xdr:cNvPr id="124" name="组合 123">
          <a:extLst>
            <a:ext uri="{FF2B5EF4-FFF2-40B4-BE49-F238E27FC236}">
              <a16:creationId xmlns:a16="http://schemas.microsoft.com/office/drawing/2014/main" id="{71198F5E-3C58-45AE-A12E-2F2C53D62EBA}"/>
            </a:ext>
          </a:extLst>
        </xdr:cNvPr>
        <xdr:cNvGrpSpPr/>
      </xdr:nvGrpSpPr>
      <xdr:grpSpPr>
        <a:xfrm>
          <a:off x="9681541" y="229842"/>
          <a:ext cx="230841" cy="107950"/>
          <a:chOff x="1504950" y="228600"/>
          <a:chExt cx="228600" cy="107950"/>
        </a:xfrm>
      </xdr:grpSpPr>
      <xdr:cxnSp macro="">
        <xdr:nvCxnSpPr>
          <xdr:cNvPr id="125" name="稻壳儿：耗崽设计">
            <a:extLst>
              <a:ext uri="{FF2B5EF4-FFF2-40B4-BE49-F238E27FC236}">
                <a16:creationId xmlns:a16="http://schemas.microsoft.com/office/drawing/2014/main" id="{193FCFBA-DCE9-44B8-B45D-98495C61E191}"/>
              </a:ext>
            </a:extLst>
          </xdr:cNvPr>
          <xdr:cNvCxnSpPr/>
        </xdr:nvCxnSpPr>
        <xdr:spPr>
          <a:xfrm>
            <a:off x="1504950" y="228600"/>
            <a:ext cx="22860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6" name="稻壳儿：耗崽设计">
            <a:extLst>
              <a:ext uri="{FF2B5EF4-FFF2-40B4-BE49-F238E27FC236}">
                <a16:creationId xmlns:a16="http://schemas.microsoft.com/office/drawing/2014/main" id="{22F432CF-DEB3-4FB8-9F39-36B42A9234FC}"/>
              </a:ext>
            </a:extLst>
          </xdr:cNvPr>
          <xdr:cNvCxnSpPr/>
        </xdr:nvCxnSpPr>
        <xdr:spPr>
          <a:xfrm>
            <a:off x="1504950" y="282575"/>
            <a:ext cx="22860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7" name="稻壳儿：耗崽设计">
            <a:extLst>
              <a:ext uri="{FF2B5EF4-FFF2-40B4-BE49-F238E27FC236}">
                <a16:creationId xmlns:a16="http://schemas.microsoft.com/office/drawing/2014/main" id="{AC0B2503-E196-4345-824E-B61D353B1B60}"/>
              </a:ext>
            </a:extLst>
          </xdr:cNvPr>
          <xdr:cNvCxnSpPr/>
        </xdr:nvCxnSpPr>
        <xdr:spPr>
          <a:xfrm>
            <a:off x="1504950" y="336550"/>
            <a:ext cx="22860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28575</xdr:colOff>
      <xdr:row>22</xdr:row>
      <xdr:rowOff>133350</xdr:rowOff>
    </xdr:from>
    <xdr:to>
      <xdr:col>14</xdr:col>
      <xdr:colOff>222118</xdr:colOff>
      <xdr:row>22</xdr:row>
      <xdr:rowOff>179069</xdr:rowOff>
    </xdr:to>
    <xdr:grpSp>
      <xdr:nvGrpSpPr>
        <xdr:cNvPr id="128" name="组合 127">
          <a:extLst>
            <a:ext uri="{FF2B5EF4-FFF2-40B4-BE49-F238E27FC236}">
              <a16:creationId xmlns:a16="http://schemas.microsoft.com/office/drawing/2014/main" id="{63AA4857-CC6B-4E14-868D-E230165DEFB2}"/>
            </a:ext>
          </a:extLst>
        </xdr:cNvPr>
        <xdr:cNvGrpSpPr/>
      </xdr:nvGrpSpPr>
      <xdr:grpSpPr>
        <a:xfrm>
          <a:off x="9652966" y="4142133"/>
          <a:ext cx="193543" cy="45719"/>
          <a:chOff x="1571625" y="971550"/>
          <a:chExt cx="304800" cy="72000"/>
        </a:xfrm>
      </xdr:grpSpPr>
      <xdr:sp macro="" textlink="">
        <xdr:nvSpPr>
          <xdr:cNvPr id="129" name="稻壳儿：耗崽设计">
            <a:extLst>
              <a:ext uri="{FF2B5EF4-FFF2-40B4-BE49-F238E27FC236}">
                <a16:creationId xmlns:a16="http://schemas.microsoft.com/office/drawing/2014/main" id="{6C2B28BD-BE0A-49CE-A6D1-579A4F8FDC88}"/>
              </a:ext>
            </a:extLst>
          </xdr:cNvPr>
          <xdr:cNvSpPr/>
        </xdr:nvSpPr>
        <xdr:spPr>
          <a:xfrm>
            <a:off x="1571625" y="971550"/>
            <a:ext cx="72000" cy="720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130" name="稻壳儿：耗崽设计">
            <a:extLst>
              <a:ext uri="{FF2B5EF4-FFF2-40B4-BE49-F238E27FC236}">
                <a16:creationId xmlns:a16="http://schemas.microsoft.com/office/drawing/2014/main" id="{35ECD3E3-EA79-447F-80A1-08E9FFACA92C}"/>
              </a:ext>
            </a:extLst>
          </xdr:cNvPr>
          <xdr:cNvSpPr/>
        </xdr:nvSpPr>
        <xdr:spPr>
          <a:xfrm>
            <a:off x="1688025" y="971550"/>
            <a:ext cx="72000" cy="720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131" name="稻壳儿：耗崽设计">
            <a:extLst>
              <a:ext uri="{FF2B5EF4-FFF2-40B4-BE49-F238E27FC236}">
                <a16:creationId xmlns:a16="http://schemas.microsoft.com/office/drawing/2014/main" id="{9A209771-6D6F-4E7F-A110-791F4F048D0C}"/>
              </a:ext>
            </a:extLst>
          </xdr:cNvPr>
          <xdr:cNvSpPr/>
        </xdr:nvSpPr>
        <xdr:spPr>
          <a:xfrm>
            <a:off x="1804425" y="971550"/>
            <a:ext cx="72000" cy="720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>
    <xdr:from>
      <xdr:col>14</xdr:col>
      <xdr:colOff>28575</xdr:colOff>
      <xdr:row>12</xdr:row>
      <xdr:rowOff>95250</xdr:rowOff>
    </xdr:from>
    <xdr:to>
      <xdr:col>14</xdr:col>
      <xdr:colOff>222118</xdr:colOff>
      <xdr:row>12</xdr:row>
      <xdr:rowOff>140969</xdr:rowOff>
    </xdr:to>
    <xdr:grpSp>
      <xdr:nvGrpSpPr>
        <xdr:cNvPr id="132" name="组合 131">
          <a:extLst>
            <a:ext uri="{FF2B5EF4-FFF2-40B4-BE49-F238E27FC236}">
              <a16:creationId xmlns:a16="http://schemas.microsoft.com/office/drawing/2014/main" id="{329245A7-C4CD-4917-B217-992F062B64FE}"/>
            </a:ext>
          </a:extLst>
        </xdr:cNvPr>
        <xdr:cNvGrpSpPr/>
      </xdr:nvGrpSpPr>
      <xdr:grpSpPr>
        <a:xfrm>
          <a:off x="9652966" y="2281859"/>
          <a:ext cx="193543" cy="45719"/>
          <a:chOff x="1571625" y="971550"/>
          <a:chExt cx="304800" cy="72000"/>
        </a:xfrm>
      </xdr:grpSpPr>
      <xdr:sp macro="" textlink="">
        <xdr:nvSpPr>
          <xdr:cNvPr id="133" name="稻壳儿：耗崽设计">
            <a:extLst>
              <a:ext uri="{FF2B5EF4-FFF2-40B4-BE49-F238E27FC236}">
                <a16:creationId xmlns:a16="http://schemas.microsoft.com/office/drawing/2014/main" id="{1D2D21F4-A007-40E0-B6CE-1083DA4A3B48}"/>
              </a:ext>
            </a:extLst>
          </xdr:cNvPr>
          <xdr:cNvSpPr/>
        </xdr:nvSpPr>
        <xdr:spPr>
          <a:xfrm>
            <a:off x="1571625" y="971550"/>
            <a:ext cx="72000" cy="720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134" name="稻壳儿：耗崽设计">
            <a:extLst>
              <a:ext uri="{FF2B5EF4-FFF2-40B4-BE49-F238E27FC236}">
                <a16:creationId xmlns:a16="http://schemas.microsoft.com/office/drawing/2014/main" id="{0DDB4BE6-B72E-4A31-AC40-D0B28A66FCA5}"/>
              </a:ext>
            </a:extLst>
          </xdr:cNvPr>
          <xdr:cNvSpPr/>
        </xdr:nvSpPr>
        <xdr:spPr>
          <a:xfrm>
            <a:off x="1688025" y="971550"/>
            <a:ext cx="72000" cy="720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135" name="稻壳儿：耗崽设计">
            <a:extLst>
              <a:ext uri="{FF2B5EF4-FFF2-40B4-BE49-F238E27FC236}">
                <a16:creationId xmlns:a16="http://schemas.microsoft.com/office/drawing/2014/main" id="{E664B9BA-E609-4FC4-88F5-678B0CC2FC26}"/>
              </a:ext>
            </a:extLst>
          </xdr:cNvPr>
          <xdr:cNvSpPr/>
        </xdr:nvSpPr>
        <xdr:spPr>
          <a:xfrm>
            <a:off x="1804425" y="971550"/>
            <a:ext cx="72000" cy="720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>
    <xdr:from>
      <xdr:col>4</xdr:col>
      <xdr:colOff>238125</xdr:colOff>
      <xdr:row>22</xdr:row>
      <xdr:rowOff>142875</xdr:rowOff>
    </xdr:from>
    <xdr:to>
      <xdr:col>4</xdr:col>
      <xdr:colOff>431668</xdr:colOff>
      <xdr:row>23</xdr:row>
      <xdr:rowOff>7619</xdr:rowOff>
    </xdr:to>
    <xdr:grpSp>
      <xdr:nvGrpSpPr>
        <xdr:cNvPr id="136" name="组合 135">
          <a:extLst>
            <a:ext uri="{FF2B5EF4-FFF2-40B4-BE49-F238E27FC236}">
              <a16:creationId xmlns:a16="http://schemas.microsoft.com/office/drawing/2014/main" id="{8525B571-9D2D-4F60-8CDB-922AECB6AF84}"/>
            </a:ext>
          </a:extLst>
        </xdr:cNvPr>
        <xdr:cNvGrpSpPr/>
      </xdr:nvGrpSpPr>
      <xdr:grpSpPr>
        <a:xfrm>
          <a:off x="2987951" y="4151658"/>
          <a:ext cx="193543" cy="46961"/>
          <a:chOff x="1571625" y="971550"/>
          <a:chExt cx="304800" cy="72000"/>
        </a:xfrm>
      </xdr:grpSpPr>
      <xdr:sp macro="" textlink="">
        <xdr:nvSpPr>
          <xdr:cNvPr id="137" name="稻壳儿：耗崽设计">
            <a:extLst>
              <a:ext uri="{FF2B5EF4-FFF2-40B4-BE49-F238E27FC236}">
                <a16:creationId xmlns:a16="http://schemas.microsoft.com/office/drawing/2014/main" id="{63085236-467A-499F-A252-1FA48DCD58C4}"/>
              </a:ext>
            </a:extLst>
          </xdr:cNvPr>
          <xdr:cNvSpPr/>
        </xdr:nvSpPr>
        <xdr:spPr>
          <a:xfrm>
            <a:off x="1571625" y="971550"/>
            <a:ext cx="72000" cy="720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138" name="稻壳儿：耗崽设计">
            <a:extLst>
              <a:ext uri="{FF2B5EF4-FFF2-40B4-BE49-F238E27FC236}">
                <a16:creationId xmlns:a16="http://schemas.microsoft.com/office/drawing/2014/main" id="{5D9AA041-909C-4691-BE39-F5CEEA4342C7}"/>
              </a:ext>
            </a:extLst>
          </xdr:cNvPr>
          <xdr:cNvSpPr/>
        </xdr:nvSpPr>
        <xdr:spPr>
          <a:xfrm>
            <a:off x="1688025" y="971550"/>
            <a:ext cx="72000" cy="720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139" name="稻壳儿：耗崽设计">
            <a:extLst>
              <a:ext uri="{FF2B5EF4-FFF2-40B4-BE49-F238E27FC236}">
                <a16:creationId xmlns:a16="http://schemas.microsoft.com/office/drawing/2014/main" id="{57981C1E-9100-416B-BD69-4485991488F0}"/>
              </a:ext>
            </a:extLst>
          </xdr:cNvPr>
          <xdr:cNvSpPr/>
        </xdr:nvSpPr>
        <xdr:spPr>
          <a:xfrm>
            <a:off x="1804425" y="971550"/>
            <a:ext cx="72000" cy="72000"/>
          </a:xfrm>
          <a:prstGeom prst="ellipse">
            <a:avLst/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EC68-E1DD-4276-B11B-90C39B31140C}">
  <sheetPr>
    <pageSetUpPr fitToPage="1"/>
  </sheetPr>
  <dimension ref="A1:O32"/>
  <sheetViews>
    <sheetView tabSelected="1" zoomScale="115" zoomScaleNormal="115" workbookViewId="0">
      <selection activeCell="P34" sqref="P34"/>
    </sheetView>
  </sheetViews>
  <sheetFormatPr defaultRowHeight="14.25" x14ac:dyDescent="0.2"/>
  <sheetData>
    <row r="1" spans="1:15" x14ac:dyDescent="0.2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x14ac:dyDescent="0.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x14ac:dyDescent="0.2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5" x14ac:dyDescent="0.2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</row>
    <row r="5" spans="1:15" x14ac:dyDescent="0.2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</row>
    <row r="6" spans="1:15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</row>
    <row r="7" spans="1:15" x14ac:dyDescent="0.2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</row>
    <row r="8" spans="1:15" x14ac:dyDescent="0.2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</row>
    <row r="9" spans="1:15" x14ac:dyDescent="0.2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</row>
    <row r="10" spans="1:15" x14ac:dyDescent="0.2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</row>
    <row r="11" spans="1:15" x14ac:dyDescent="0.2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</row>
    <row r="12" spans="1:15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</row>
    <row r="13" spans="1:15" x14ac:dyDescent="0.2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</row>
    <row r="14" spans="1:15" x14ac:dyDescent="0.2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</row>
    <row r="15" spans="1:15" x14ac:dyDescent="0.2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</row>
    <row r="16" spans="1:15" x14ac:dyDescent="0.2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</row>
    <row r="17" spans="1:15" x14ac:dyDescent="0.2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</row>
    <row r="18" spans="1:15" x14ac:dyDescent="0.2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</row>
    <row r="19" spans="1:15" x14ac:dyDescent="0.2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</row>
    <row r="20" spans="1:15" x14ac:dyDescent="0.2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</row>
    <row r="21" spans="1:15" x14ac:dyDescent="0.2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</row>
    <row r="22" spans="1:15" x14ac:dyDescent="0.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</row>
    <row r="23" spans="1:15" x14ac:dyDescent="0.2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</row>
    <row r="24" spans="1:15" x14ac:dyDescent="0.2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</row>
    <row r="25" spans="1:15" x14ac:dyDescent="0.2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</row>
    <row r="26" spans="1:15" x14ac:dyDescent="0.2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</row>
    <row r="27" spans="1:15" x14ac:dyDescent="0.2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</row>
    <row r="28" spans="1:15" x14ac:dyDescent="0.2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</row>
    <row r="29" spans="1:15" x14ac:dyDescent="0.2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</row>
    <row r="30" spans="1:15" x14ac:dyDescent="0.2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</row>
    <row r="31" spans="1:15" x14ac:dyDescent="0.2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</row>
    <row r="32" spans="1:15" ht="11.25" customHeight="1" x14ac:dyDescent="0.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</row>
  </sheetData>
  <phoneticPr fontId="1" type="noConversion"/>
  <pageMargins left="0.47244094488188981" right="0" top="1.1417322834645669" bottom="0.74803149606299213" header="0.31496062992125984" footer="0.31496062992125984"/>
  <pageSetup paperSize="9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141"/>
  <sheetViews>
    <sheetView topLeftCell="A28" zoomScaleNormal="100" workbookViewId="0">
      <selection activeCell="K12" sqref="K12"/>
    </sheetView>
  </sheetViews>
  <sheetFormatPr defaultRowHeight="16.5" x14ac:dyDescent="0.3"/>
  <cols>
    <col min="1" max="1" width="1.375" style="11" customWidth="1"/>
    <col min="2" max="2" width="14" style="11" customWidth="1"/>
    <col min="3" max="3" width="9" style="11"/>
    <col min="4" max="4" width="25.625" style="11" customWidth="1"/>
    <col min="5" max="5" width="42.375" style="11" customWidth="1"/>
    <col min="6" max="6" width="15" style="11" customWidth="1"/>
    <col min="7" max="7" width="9" style="11"/>
    <col min="8" max="8" width="59" style="11" customWidth="1"/>
    <col min="9" max="16384" width="9" style="11"/>
  </cols>
  <sheetData>
    <row r="2" spans="2:12" ht="22.5" x14ac:dyDescent="0.3">
      <c r="B2" s="80" t="s">
        <v>201</v>
      </c>
      <c r="C2" s="80"/>
      <c r="D2" s="80"/>
      <c r="E2" s="80"/>
      <c r="F2" s="80"/>
      <c r="G2" s="80"/>
      <c r="H2" s="80"/>
    </row>
    <row r="3" spans="2:12" ht="18" customHeight="1" thickBot="1" x14ac:dyDescent="0.35">
      <c r="B3" s="79" t="s">
        <v>175</v>
      </c>
      <c r="C3" s="79"/>
      <c r="D3" s="79"/>
      <c r="E3" s="79"/>
      <c r="F3" s="79"/>
      <c r="G3" s="79"/>
      <c r="H3" s="79"/>
      <c r="I3" s="20"/>
      <c r="J3" s="20"/>
      <c r="K3" s="20"/>
      <c r="L3" s="20"/>
    </row>
    <row r="4" spans="2:12" ht="17.25" thickTop="1" x14ac:dyDescent="0.3">
      <c r="B4" s="1" t="s">
        <v>0</v>
      </c>
      <c r="C4" s="2" t="s">
        <v>1</v>
      </c>
      <c r="D4" s="2" t="s">
        <v>95</v>
      </c>
      <c r="E4" s="2" t="s">
        <v>96</v>
      </c>
      <c r="F4" s="2" t="s">
        <v>167</v>
      </c>
      <c r="G4" s="2" t="s">
        <v>2</v>
      </c>
      <c r="H4" s="15" t="s">
        <v>97</v>
      </c>
    </row>
    <row r="5" spans="2:12" x14ac:dyDescent="0.3">
      <c r="B5" s="77" t="s">
        <v>115</v>
      </c>
      <c r="C5" s="3" t="s">
        <v>129</v>
      </c>
      <c r="D5" s="4" t="s">
        <v>126</v>
      </c>
      <c r="E5" s="5" t="s">
        <v>3</v>
      </c>
      <c r="F5" s="6">
        <v>2500</v>
      </c>
      <c r="G5" s="7">
        <v>0.4</v>
      </c>
      <c r="H5" s="16" t="s">
        <v>4</v>
      </c>
    </row>
    <row r="6" spans="2:12" x14ac:dyDescent="0.3">
      <c r="B6" s="77"/>
      <c r="C6" s="3" t="s">
        <v>130</v>
      </c>
      <c r="D6" s="4" t="s">
        <v>5</v>
      </c>
      <c r="E6" s="5" t="s">
        <v>6</v>
      </c>
      <c r="F6" s="7">
        <v>0.8</v>
      </c>
      <c r="G6" s="7">
        <v>0.2</v>
      </c>
      <c r="H6" s="16" t="s">
        <v>7</v>
      </c>
    </row>
    <row r="7" spans="2:12" x14ac:dyDescent="0.3">
      <c r="B7" s="77"/>
      <c r="C7" s="3" t="s">
        <v>131</v>
      </c>
      <c r="D7" s="5" t="s">
        <v>152</v>
      </c>
      <c r="E7" s="5" t="s">
        <v>8</v>
      </c>
      <c r="F7" s="7">
        <v>0.6</v>
      </c>
      <c r="G7" s="7">
        <v>0.1</v>
      </c>
      <c r="H7" s="16" t="s">
        <v>9</v>
      </c>
    </row>
    <row r="8" spans="2:12" x14ac:dyDescent="0.3">
      <c r="B8" s="77"/>
      <c r="C8" s="3" t="s">
        <v>132</v>
      </c>
      <c r="D8" s="4" t="s">
        <v>10</v>
      </c>
      <c r="E8" s="5" t="s">
        <v>11</v>
      </c>
      <c r="F8" s="7">
        <v>0.8</v>
      </c>
      <c r="G8" s="7">
        <v>0.1</v>
      </c>
      <c r="H8" s="16" t="s">
        <v>12</v>
      </c>
    </row>
    <row r="9" spans="2:12" x14ac:dyDescent="0.3">
      <c r="B9" s="77"/>
      <c r="C9" s="3" t="s">
        <v>133</v>
      </c>
      <c r="D9" s="4" t="s">
        <v>122</v>
      </c>
      <c r="E9" s="5" t="s">
        <v>169</v>
      </c>
      <c r="F9" s="7">
        <v>0.9</v>
      </c>
      <c r="G9" s="7">
        <v>0.05</v>
      </c>
      <c r="H9" s="16" t="s">
        <v>153</v>
      </c>
    </row>
    <row r="10" spans="2:12" x14ac:dyDescent="0.3">
      <c r="B10" s="77"/>
      <c r="C10" s="3" t="s">
        <v>134</v>
      </c>
      <c r="D10" s="4" t="s">
        <v>120</v>
      </c>
      <c r="E10" s="5" t="s">
        <v>13</v>
      </c>
      <c r="F10" s="7">
        <v>0.98</v>
      </c>
      <c r="G10" s="7">
        <v>0.05</v>
      </c>
      <c r="H10" s="16" t="s">
        <v>14</v>
      </c>
    </row>
    <row r="11" spans="2:12" x14ac:dyDescent="0.3">
      <c r="B11" s="77"/>
      <c r="C11" s="3" t="s">
        <v>135</v>
      </c>
      <c r="D11" s="4" t="s">
        <v>162</v>
      </c>
      <c r="E11" s="5" t="s">
        <v>15</v>
      </c>
      <c r="F11" s="7">
        <v>0.98</v>
      </c>
      <c r="G11" s="7">
        <v>0.04</v>
      </c>
      <c r="H11" s="16" t="s">
        <v>16</v>
      </c>
    </row>
    <row r="12" spans="2:12" x14ac:dyDescent="0.3">
      <c r="B12" s="77"/>
      <c r="C12" s="3" t="s">
        <v>136</v>
      </c>
      <c r="D12" s="4" t="s">
        <v>121</v>
      </c>
      <c r="E12" s="5" t="s">
        <v>170</v>
      </c>
      <c r="F12" s="7">
        <v>0.8</v>
      </c>
      <c r="G12" s="7">
        <v>0.03</v>
      </c>
      <c r="H12" s="16" t="s">
        <v>17</v>
      </c>
    </row>
    <row r="13" spans="2:12" x14ac:dyDescent="0.3">
      <c r="B13" s="77"/>
      <c r="C13" s="3" t="s">
        <v>137</v>
      </c>
      <c r="D13" s="4" t="s">
        <v>214</v>
      </c>
      <c r="E13" s="5" t="s">
        <v>21</v>
      </c>
      <c r="F13" s="7">
        <v>0.9</v>
      </c>
      <c r="G13" s="7">
        <v>0.03</v>
      </c>
      <c r="H13" s="16" t="s">
        <v>22</v>
      </c>
    </row>
    <row r="14" spans="2:12" x14ac:dyDescent="0.3">
      <c r="B14" s="77" t="s">
        <v>116</v>
      </c>
      <c r="C14" s="3" t="s">
        <v>138</v>
      </c>
      <c r="D14" s="4" t="s">
        <v>105</v>
      </c>
      <c r="E14" s="5" t="s">
        <v>104</v>
      </c>
      <c r="F14" s="6">
        <v>2</v>
      </c>
      <c r="G14" s="7">
        <v>0.2</v>
      </c>
      <c r="H14" s="16" t="s">
        <v>166</v>
      </c>
    </row>
    <row r="15" spans="2:12" x14ac:dyDescent="0.3">
      <c r="B15" s="77"/>
      <c r="C15" s="3" t="s">
        <v>139</v>
      </c>
      <c r="D15" s="21" t="s">
        <v>98</v>
      </c>
      <c r="E15" s="21" t="s">
        <v>159</v>
      </c>
      <c r="F15" s="6">
        <v>5</v>
      </c>
      <c r="G15" s="7">
        <v>0.2</v>
      </c>
      <c r="H15" s="22" t="s">
        <v>159</v>
      </c>
    </row>
    <row r="16" spans="2:12" x14ac:dyDescent="0.3">
      <c r="B16" s="77"/>
      <c r="C16" s="3" t="s">
        <v>140</v>
      </c>
      <c r="D16" s="21" t="s">
        <v>99</v>
      </c>
      <c r="E16" s="21" t="s">
        <v>100</v>
      </c>
      <c r="F16" s="7">
        <v>0.98</v>
      </c>
      <c r="G16" s="7">
        <v>0.2</v>
      </c>
      <c r="H16" s="22" t="s">
        <v>102</v>
      </c>
    </row>
    <row r="17" spans="2:8" x14ac:dyDescent="0.3">
      <c r="B17" s="77"/>
      <c r="C17" s="3" t="s">
        <v>141</v>
      </c>
      <c r="D17" s="21" t="s">
        <v>128</v>
      </c>
      <c r="E17" s="21" t="s">
        <v>127</v>
      </c>
      <c r="F17" s="7">
        <v>0.98</v>
      </c>
      <c r="G17" s="7">
        <v>0.2</v>
      </c>
      <c r="H17" s="22" t="s">
        <v>165</v>
      </c>
    </row>
    <row r="18" spans="2:8" x14ac:dyDescent="0.3">
      <c r="B18" s="77"/>
      <c r="C18" s="3" t="s">
        <v>142</v>
      </c>
      <c r="D18" s="21" t="s">
        <v>101</v>
      </c>
      <c r="E18" s="21" t="s">
        <v>123</v>
      </c>
      <c r="F18" s="7">
        <v>0.98</v>
      </c>
      <c r="G18" s="7">
        <v>0.2</v>
      </c>
      <c r="H18" s="16" t="s">
        <v>123</v>
      </c>
    </row>
    <row r="19" spans="2:8" x14ac:dyDescent="0.3">
      <c r="B19" s="77" t="s">
        <v>117</v>
      </c>
      <c r="C19" s="3" t="s">
        <v>143</v>
      </c>
      <c r="D19" s="21" t="s">
        <v>176</v>
      </c>
      <c r="E19" s="21" t="s">
        <v>103</v>
      </c>
      <c r="F19" s="7">
        <v>0.9</v>
      </c>
      <c r="G19" s="7">
        <v>0.5</v>
      </c>
      <c r="H19" s="22" t="s">
        <v>165</v>
      </c>
    </row>
    <row r="20" spans="2:8" x14ac:dyDescent="0.3">
      <c r="B20" s="77"/>
      <c r="C20" s="3" t="s">
        <v>144</v>
      </c>
      <c r="D20" s="4" t="s">
        <v>18</v>
      </c>
      <c r="E20" s="5" t="s">
        <v>19</v>
      </c>
      <c r="F20" s="7">
        <v>0.9</v>
      </c>
      <c r="G20" s="7">
        <v>0.5</v>
      </c>
      <c r="H20" s="16" t="s">
        <v>20</v>
      </c>
    </row>
    <row r="21" spans="2:8" x14ac:dyDescent="0.3">
      <c r="B21" s="77" t="s">
        <v>118</v>
      </c>
      <c r="C21" s="3" t="s">
        <v>145</v>
      </c>
      <c r="D21" s="21" t="s">
        <v>161</v>
      </c>
      <c r="E21" s="21" t="s">
        <v>124</v>
      </c>
      <c r="F21" s="24">
        <v>0</v>
      </c>
      <c r="G21" s="24">
        <v>0</v>
      </c>
      <c r="H21" s="16" t="s">
        <v>174</v>
      </c>
    </row>
    <row r="22" spans="2:8" x14ac:dyDescent="0.3">
      <c r="B22" s="77"/>
      <c r="C22" s="3" t="s">
        <v>146</v>
      </c>
      <c r="D22" s="21" t="s">
        <v>106</v>
      </c>
      <c r="E22" s="21" t="s">
        <v>107</v>
      </c>
      <c r="F22" s="24">
        <v>0</v>
      </c>
      <c r="G22" s="24">
        <v>0</v>
      </c>
      <c r="H22" s="22" t="s">
        <v>173</v>
      </c>
    </row>
    <row r="23" spans="2:8" x14ac:dyDescent="0.3">
      <c r="B23" s="77"/>
      <c r="C23" s="3" t="s">
        <v>147</v>
      </c>
      <c r="D23" s="21" t="s">
        <v>108</v>
      </c>
      <c r="E23" s="21" t="s">
        <v>125</v>
      </c>
      <c r="F23" s="24">
        <v>0</v>
      </c>
      <c r="G23" s="24">
        <v>0</v>
      </c>
      <c r="H23" s="22" t="s">
        <v>172</v>
      </c>
    </row>
    <row r="24" spans="2:8" x14ac:dyDescent="0.3">
      <c r="B24" s="77"/>
      <c r="C24" s="3" t="s">
        <v>148</v>
      </c>
      <c r="D24" s="21" t="s">
        <v>109</v>
      </c>
      <c r="E24" s="21" t="s">
        <v>160</v>
      </c>
      <c r="F24" s="24">
        <v>0</v>
      </c>
      <c r="G24" s="24">
        <v>0</v>
      </c>
      <c r="H24" s="16" t="s">
        <v>171</v>
      </c>
    </row>
    <row r="25" spans="2:8" x14ac:dyDescent="0.3">
      <c r="B25" s="77"/>
      <c r="C25" s="3" t="s">
        <v>149</v>
      </c>
      <c r="D25" s="21" t="s">
        <v>110</v>
      </c>
      <c r="E25" s="21" t="s">
        <v>111</v>
      </c>
      <c r="F25" s="24">
        <v>0</v>
      </c>
      <c r="G25" s="24">
        <v>0</v>
      </c>
      <c r="H25" s="22" t="s">
        <v>168</v>
      </c>
    </row>
    <row r="26" spans="2:8" x14ac:dyDescent="0.3">
      <c r="B26" s="77"/>
      <c r="C26" s="3" t="s">
        <v>150</v>
      </c>
      <c r="D26" s="21" t="s">
        <v>112</v>
      </c>
      <c r="E26" s="21" t="s">
        <v>163</v>
      </c>
      <c r="F26" s="24">
        <v>0</v>
      </c>
      <c r="G26" s="24">
        <v>0</v>
      </c>
      <c r="H26" s="22" t="s">
        <v>113</v>
      </c>
    </row>
    <row r="27" spans="2:8" x14ac:dyDescent="0.3">
      <c r="B27" s="77"/>
      <c r="C27" s="3" t="s">
        <v>151</v>
      </c>
      <c r="D27" s="21" t="s">
        <v>119</v>
      </c>
      <c r="E27" s="21" t="s">
        <v>114</v>
      </c>
      <c r="F27" s="24">
        <v>0</v>
      </c>
      <c r="G27" s="24">
        <v>0</v>
      </c>
      <c r="H27" s="22" t="s">
        <v>164</v>
      </c>
    </row>
    <row r="28" spans="2:8" ht="18.75" thickBot="1" x14ac:dyDescent="0.35">
      <c r="B28" s="19" t="s">
        <v>154</v>
      </c>
      <c r="C28" s="8" t="s">
        <v>155</v>
      </c>
      <c r="D28" s="23" t="s">
        <v>157</v>
      </c>
      <c r="E28" s="23" t="s">
        <v>156</v>
      </c>
      <c r="F28" s="9">
        <v>80</v>
      </c>
      <c r="G28" s="25">
        <v>0</v>
      </c>
      <c r="H28" s="17" t="s">
        <v>158</v>
      </c>
    </row>
    <row r="29" spans="2:8" ht="18.75" thickTop="1" x14ac:dyDescent="0.3">
      <c r="B29" s="26"/>
      <c r="C29" s="12"/>
      <c r="D29" s="27"/>
      <c r="E29" s="27"/>
      <c r="F29" s="14"/>
      <c r="G29" s="28"/>
      <c r="H29" s="13"/>
    </row>
    <row r="30" spans="2:8" ht="22.5" x14ac:dyDescent="0.3">
      <c r="B30" s="80" t="s">
        <v>202</v>
      </c>
      <c r="C30" s="80"/>
      <c r="D30" s="80"/>
      <c r="E30" s="80"/>
      <c r="F30" s="80"/>
      <c r="G30" s="80"/>
      <c r="H30" s="80"/>
    </row>
    <row r="31" spans="2:8" ht="17.25" thickBot="1" x14ac:dyDescent="0.35">
      <c r="B31" s="79" t="s">
        <v>175</v>
      </c>
      <c r="C31" s="79"/>
      <c r="D31" s="79"/>
      <c r="E31" s="79"/>
      <c r="F31" s="79"/>
      <c r="G31" s="79"/>
      <c r="H31" s="79"/>
    </row>
    <row r="32" spans="2:8" ht="17.25" thickTop="1" x14ac:dyDescent="0.3">
      <c r="B32" s="1" t="s">
        <v>0</v>
      </c>
      <c r="C32" s="2" t="s">
        <v>1</v>
      </c>
      <c r="D32" s="2" t="s">
        <v>95</v>
      </c>
      <c r="E32" s="2" t="s">
        <v>96</v>
      </c>
      <c r="F32" s="2" t="s">
        <v>167</v>
      </c>
      <c r="G32" s="2" t="s">
        <v>2</v>
      </c>
      <c r="H32" s="15" t="s">
        <v>97</v>
      </c>
    </row>
    <row r="33" spans="2:8" x14ac:dyDescent="0.3">
      <c r="B33" s="77" t="s">
        <v>115</v>
      </c>
      <c r="C33" s="3" t="s">
        <v>129</v>
      </c>
      <c r="D33" s="4" t="s">
        <v>275</v>
      </c>
      <c r="E33" s="5" t="s">
        <v>193</v>
      </c>
      <c r="F33" s="7">
        <v>0.95</v>
      </c>
      <c r="G33" s="7">
        <v>0.4</v>
      </c>
      <c r="H33" s="18" t="s">
        <v>200</v>
      </c>
    </row>
    <row r="34" spans="2:8" x14ac:dyDescent="0.3">
      <c r="B34" s="77"/>
      <c r="C34" s="3" t="s">
        <v>130</v>
      </c>
      <c r="D34" s="4" t="s">
        <v>177</v>
      </c>
      <c r="E34" s="5" t="s">
        <v>192</v>
      </c>
      <c r="F34" s="38">
        <v>2800</v>
      </c>
      <c r="G34" s="7">
        <v>0.2</v>
      </c>
      <c r="H34" s="18" t="s">
        <v>184</v>
      </c>
    </row>
    <row r="35" spans="2:8" x14ac:dyDescent="0.3">
      <c r="B35" s="77"/>
      <c r="C35" s="3" t="s">
        <v>131</v>
      </c>
      <c r="D35" s="5" t="s">
        <v>178</v>
      </c>
      <c r="E35" s="5" t="s">
        <v>191</v>
      </c>
      <c r="F35" s="39">
        <v>4.5999999999999996</v>
      </c>
      <c r="G35" s="7">
        <v>0.1</v>
      </c>
      <c r="H35" s="29" t="s">
        <v>199</v>
      </c>
    </row>
    <row r="36" spans="2:8" x14ac:dyDescent="0.3">
      <c r="B36" s="77"/>
      <c r="C36" s="3" t="s">
        <v>132</v>
      </c>
      <c r="D36" s="4" t="s">
        <v>179</v>
      </c>
      <c r="E36" s="4" t="s">
        <v>190</v>
      </c>
      <c r="F36" s="7">
        <v>0.8</v>
      </c>
      <c r="G36" s="7">
        <v>0.1</v>
      </c>
      <c r="H36" s="18" t="s">
        <v>185</v>
      </c>
    </row>
    <row r="37" spans="2:8" x14ac:dyDescent="0.3">
      <c r="B37" s="77"/>
      <c r="C37" s="3" t="s">
        <v>133</v>
      </c>
      <c r="D37" s="4" t="s">
        <v>180</v>
      </c>
      <c r="E37" s="5" t="s">
        <v>194</v>
      </c>
      <c r="F37" s="7">
        <v>0.5</v>
      </c>
      <c r="G37" s="7">
        <v>0.05</v>
      </c>
      <c r="H37" s="18" t="s">
        <v>186</v>
      </c>
    </row>
    <row r="38" spans="2:8" x14ac:dyDescent="0.3">
      <c r="B38" s="77"/>
      <c r="C38" s="3" t="s">
        <v>134</v>
      </c>
      <c r="D38" s="4" t="s">
        <v>181</v>
      </c>
      <c r="E38" s="4" t="s">
        <v>181</v>
      </c>
      <c r="F38" s="7">
        <v>0.88</v>
      </c>
      <c r="G38" s="7">
        <v>0.05</v>
      </c>
      <c r="H38" s="18" t="s">
        <v>213</v>
      </c>
    </row>
    <row r="39" spans="2:8" x14ac:dyDescent="0.3">
      <c r="B39" s="77"/>
      <c r="C39" s="3" t="s">
        <v>135</v>
      </c>
      <c r="D39" s="4" t="s">
        <v>182</v>
      </c>
      <c r="E39" s="5" t="s">
        <v>195</v>
      </c>
      <c r="F39" s="7">
        <v>0.57999999999999996</v>
      </c>
      <c r="G39" s="7">
        <v>0.04</v>
      </c>
      <c r="H39" s="18" t="s">
        <v>187</v>
      </c>
    </row>
    <row r="40" spans="2:8" x14ac:dyDescent="0.3">
      <c r="B40" s="77"/>
      <c r="C40" s="3" t="s">
        <v>136</v>
      </c>
      <c r="D40" s="4" t="s">
        <v>183</v>
      </c>
      <c r="E40" s="5" t="s">
        <v>196</v>
      </c>
      <c r="F40" s="7">
        <v>0.1</v>
      </c>
      <c r="G40" s="7">
        <v>0.03</v>
      </c>
      <c r="H40" s="18" t="s">
        <v>188</v>
      </c>
    </row>
    <row r="41" spans="2:8" x14ac:dyDescent="0.3">
      <c r="B41" s="77"/>
      <c r="C41" s="3" t="s">
        <v>137</v>
      </c>
      <c r="D41" s="4" t="s">
        <v>197</v>
      </c>
      <c r="E41" s="5" t="s">
        <v>198</v>
      </c>
      <c r="F41" s="7">
        <v>0.56000000000000005</v>
      </c>
      <c r="G41" s="7">
        <v>0.03</v>
      </c>
      <c r="H41" s="18" t="s">
        <v>189</v>
      </c>
    </row>
    <row r="42" spans="2:8" ht="16.5" customHeight="1" x14ac:dyDescent="0.3">
      <c r="B42" s="77" t="s">
        <v>116</v>
      </c>
      <c r="C42" s="3" t="s">
        <v>138</v>
      </c>
      <c r="D42" s="4" t="s">
        <v>105</v>
      </c>
      <c r="E42" s="5" t="s">
        <v>104</v>
      </c>
      <c r="F42" s="6">
        <v>2</v>
      </c>
      <c r="G42" s="7">
        <v>0.2</v>
      </c>
      <c r="H42" s="16" t="s">
        <v>166</v>
      </c>
    </row>
    <row r="43" spans="2:8" ht="16.5" customHeight="1" x14ac:dyDescent="0.3">
      <c r="B43" s="77"/>
      <c r="C43" s="3" t="s">
        <v>139</v>
      </c>
      <c r="D43" s="21" t="s">
        <v>98</v>
      </c>
      <c r="E43" s="21" t="s">
        <v>159</v>
      </c>
      <c r="F43" s="6">
        <v>6</v>
      </c>
      <c r="G43" s="7">
        <v>0.2</v>
      </c>
      <c r="H43" s="22" t="s">
        <v>159</v>
      </c>
    </row>
    <row r="44" spans="2:8" ht="16.5" customHeight="1" x14ac:dyDescent="0.3">
      <c r="B44" s="77"/>
      <c r="C44" s="3" t="s">
        <v>140</v>
      </c>
      <c r="D44" s="21" t="s">
        <v>99</v>
      </c>
      <c r="E44" s="21" t="s">
        <v>100</v>
      </c>
      <c r="F44" s="7">
        <v>0.98</v>
      </c>
      <c r="G44" s="7">
        <v>0.2</v>
      </c>
      <c r="H44" s="22" t="s">
        <v>102</v>
      </c>
    </row>
    <row r="45" spans="2:8" ht="16.5" customHeight="1" x14ac:dyDescent="0.3">
      <c r="B45" s="77"/>
      <c r="C45" s="3" t="s">
        <v>141</v>
      </c>
      <c r="D45" s="21" t="s">
        <v>128</v>
      </c>
      <c r="E45" s="21" t="s">
        <v>127</v>
      </c>
      <c r="F45" s="7">
        <v>0.98</v>
      </c>
      <c r="G45" s="7">
        <v>0.2</v>
      </c>
      <c r="H45" s="22" t="s">
        <v>165</v>
      </c>
    </row>
    <row r="46" spans="2:8" ht="16.5" customHeight="1" x14ac:dyDescent="0.3">
      <c r="B46" s="77"/>
      <c r="C46" s="3" t="s">
        <v>142</v>
      </c>
      <c r="D46" s="21" t="s">
        <v>101</v>
      </c>
      <c r="E46" s="21" t="s">
        <v>123</v>
      </c>
      <c r="F46" s="7">
        <v>0.98</v>
      </c>
      <c r="G46" s="7">
        <v>0.2</v>
      </c>
      <c r="H46" s="16" t="s">
        <v>123</v>
      </c>
    </row>
    <row r="47" spans="2:8" ht="16.5" customHeight="1" x14ac:dyDescent="0.3">
      <c r="B47" s="77" t="s">
        <v>117</v>
      </c>
      <c r="C47" s="3" t="s">
        <v>143</v>
      </c>
      <c r="D47" s="21" t="s">
        <v>176</v>
      </c>
      <c r="E47" s="21" t="s">
        <v>103</v>
      </c>
      <c r="F47" s="7">
        <v>0.9</v>
      </c>
      <c r="G47" s="7">
        <v>0.5</v>
      </c>
      <c r="H47" s="22" t="s">
        <v>165</v>
      </c>
    </row>
    <row r="48" spans="2:8" ht="16.5" customHeight="1" x14ac:dyDescent="0.3">
      <c r="B48" s="77"/>
      <c r="C48" s="3" t="s">
        <v>144</v>
      </c>
      <c r="D48" s="4" t="s">
        <v>18</v>
      </c>
      <c r="E48" s="5" t="s">
        <v>19</v>
      </c>
      <c r="F48" s="7">
        <v>0.9</v>
      </c>
      <c r="G48" s="7">
        <v>0.5</v>
      </c>
      <c r="H48" s="16" t="s">
        <v>20</v>
      </c>
    </row>
    <row r="49" spans="2:8" ht="16.5" customHeight="1" x14ac:dyDescent="0.3">
      <c r="B49" s="77" t="s">
        <v>118</v>
      </c>
      <c r="C49" s="3" t="s">
        <v>145</v>
      </c>
      <c r="D49" s="21" t="s">
        <v>161</v>
      </c>
      <c r="E49" s="21" t="s">
        <v>124</v>
      </c>
      <c r="F49" s="24">
        <v>0</v>
      </c>
      <c r="G49" s="24">
        <v>0</v>
      </c>
      <c r="H49" s="16" t="s">
        <v>174</v>
      </c>
    </row>
    <row r="50" spans="2:8" ht="16.5" customHeight="1" x14ac:dyDescent="0.3">
      <c r="B50" s="77"/>
      <c r="C50" s="3" t="s">
        <v>146</v>
      </c>
      <c r="D50" s="21" t="s">
        <v>106</v>
      </c>
      <c r="E50" s="21" t="s">
        <v>107</v>
      </c>
      <c r="F50" s="24">
        <v>0</v>
      </c>
      <c r="G50" s="24">
        <v>0</v>
      </c>
      <c r="H50" s="22" t="s">
        <v>173</v>
      </c>
    </row>
    <row r="51" spans="2:8" ht="16.5" customHeight="1" x14ac:dyDescent="0.3">
      <c r="B51" s="77"/>
      <c r="C51" s="3" t="s">
        <v>147</v>
      </c>
      <c r="D51" s="21" t="s">
        <v>108</v>
      </c>
      <c r="E51" s="21" t="s">
        <v>125</v>
      </c>
      <c r="F51" s="24">
        <v>0</v>
      </c>
      <c r="G51" s="24">
        <v>0</v>
      </c>
      <c r="H51" s="22" t="s">
        <v>172</v>
      </c>
    </row>
    <row r="52" spans="2:8" ht="16.5" customHeight="1" x14ac:dyDescent="0.3">
      <c r="B52" s="77"/>
      <c r="C52" s="3" t="s">
        <v>148</v>
      </c>
      <c r="D52" s="21" t="s">
        <v>109</v>
      </c>
      <c r="E52" s="21" t="s">
        <v>160</v>
      </c>
      <c r="F52" s="24">
        <v>0</v>
      </c>
      <c r="G52" s="24">
        <v>0</v>
      </c>
      <c r="H52" s="16" t="s">
        <v>171</v>
      </c>
    </row>
    <row r="53" spans="2:8" ht="16.5" customHeight="1" x14ac:dyDescent="0.3">
      <c r="B53" s="77"/>
      <c r="C53" s="3" t="s">
        <v>149</v>
      </c>
      <c r="D53" s="21" t="s">
        <v>110</v>
      </c>
      <c r="E53" s="21" t="s">
        <v>111</v>
      </c>
      <c r="F53" s="24">
        <v>0</v>
      </c>
      <c r="G53" s="24">
        <v>0</v>
      </c>
      <c r="H53" s="22" t="s">
        <v>168</v>
      </c>
    </row>
    <row r="54" spans="2:8" ht="16.5" customHeight="1" x14ac:dyDescent="0.3">
      <c r="B54" s="77"/>
      <c r="C54" s="3" t="s">
        <v>150</v>
      </c>
      <c r="D54" s="21" t="s">
        <v>112</v>
      </c>
      <c r="E54" s="21" t="s">
        <v>163</v>
      </c>
      <c r="F54" s="24">
        <v>0</v>
      </c>
      <c r="G54" s="24">
        <v>0</v>
      </c>
      <c r="H54" s="22" t="s">
        <v>113</v>
      </c>
    </row>
    <row r="55" spans="2:8" ht="16.5" customHeight="1" x14ac:dyDescent="0.3">
      <c r="B55" s="77"/>
      <c r="C55" s="3" t="s">
        <v>151</v>
      </c>
      <c r="D55" s="21" t="s">
        <v>119</v>
      </c>
      <c r="E55" s="21" t="s">
        <v>114</v>
      </c>
      <c r="F55" s="24">
        <v>0</v>
      </c>
      <c r="G55" s="24">
        <v>0</v>
      </c>
      <c r="H55" s="22" t="s">
        <v>164</v>
      </c>
    </row>
    <row r="56" spans="2:8" ht="18.75" thickBot="1" x14ac:dyDescent="0.35">
      <c r="B56" s="19" t="s">
        <v>154</v>
      </c>
      <c r="C56" s="8" t="s">
        <v>155</v>
      </c>
      <c r="D56" s="23" t="s">
        <v>157</v>
      </c>
      <c r="E56" s="23" t="s">
        <v>156</v>
      </c>
      <c r="F56" s="9">
        <v>80</v>
      </c>
      <c r="G56" s="25">
        <v>0</v>
      </c>
      <c r="H56" s="17" t="s">
        <v>158</v>
      </c>
    </row>
    <row r="57" spans="2:8" ht="18.75" thickTop="1" x14ac:dyDescent="0.3">
      <c r="B57" s="26"/>
      <c r="C57" s="12"/>
      <c r="D57" s="27"/>
      <c r="E57" s="27"/>
      <c r="F57" s="14"/>
      <c r="G57" s="28"/>
      <c r="H57" s="13"/>
    </row>
    <row r="58" spans="2:8" ht="24.75" x14ac:dyDescent="0.3">
      <c r="B58" s="78" t="s">
        <v>203</v>
      </c>
      <c r="C58" s="78"/>
      <c r="D58" s="78"/>
      <c r="E58" s="78"/>
      <c r="F58" s="78"/>
      <c r="G58" s="78"/>
      <c r="H58" s="78"/>
    </row>
    <row r="59" spans="2:8" ht="17.25" thickBot="1" x14ac:dyDescent="0.35">
      <c r="B59" s="79" t="s">
        <v>175</v>
      </c>
      <c r="C59" s="79"/>
      <c r="D59" s="79"/>
      <c r="E59" s="79"/>
      <c r="F59" s="79"/>
      <c r="G59" s="79"/>
      <c r="H59" s="79"/>
    </row>
    <row r="60" spans="2:8" ht="17.25" thickTop="1" x14ac:dyDescent="0.3">
      <c r="B60" s="1" t="s">
        <v>0</v>
      </c>
      <c r="C60" s="2" t="s">
        <v>1</v>
      </c>
      <c r="D60" s="2" t="s">
        <v>95</v>
      </c>
      <c r="E60" s="2" t="s">
        <v>96</v>
      </c>
      <c r="F60" s="2" t="s">
        <v>167</v>
      </c>
      <c r="G60" s="2" t="s">
        <v>2</v>
      </c>
      <c r="H60" s="15" t="s">
        <v>97</v>
      </c>
    </row>
    <row r="61" spans="2:8" ht="33" x14ac:dyDescent="0.3">
      <c r="B61" s="77" t="s">
        <v>115</v>
      </c>
      <c r="C61" s="3" t="s">
        <v>129</v>
      </c>
      <c r="D61" s="4" t="s">
        <v>23</v>
      </c>
      <c r="E61" s="5" t="s">
        <v>24</v>
      </c>
      <c r="F61" s="34">
        <v>0.8</v>
      </c>
      <c r="G61" s="7">
        <v>0.1</v>
      </c>
      <c r="H61" s="29" t="s">
        <v>25</v>
      </c>
    </row>
    <row r="62" spans="2:8" ht="16.5" customHeight="1" x14ac:dyDescent="0.3">
      <c r="B62" s="77"/>
      <c r="C62" s="3" t="s">
        <v>130</v>
      </c>
      <c r="D62" s="4" t="s">
        <v>26</v>
      </c>
      <c r="E62" s="5" t="s">
        <v>27</v>
      </c>
      <c r="F62" s="35">
        <v>1</v>
      </c>
      <c r="G62" s="7">
        <v>0.4</v>
      </c>
      <c r="H62" s="29" t="s">
        <v>28</v>
      </c>
    </row>
    <row r="63" spans="2:8" ht="16.5" customHeight="1" x14ac:dyDescent="0.3">
      <c r="B63" s="77"/>
      <c r="C63" s="3" t="s">
        <v>131</v>
      </c>
      <c r="D63" s="4" t="s">
        <v>29</v>
      </c>
      <c r="E63" s="5" t="s">
        <v>30</v>
      </c>
      <c r="F63" s="34">
        <v>0.9</v>
      </c>
      <c r="G63" s="7">
        <v>0.2</v>
      </c>
      <c r="H63" s="29" t="s">
        <v>31</v>
      </c>
    </row>
    <row r="64" spans="2:8" ht="16.5" customHeight="1" x14ac:dyDescent="0.3">
      <c r="B64" s="77"/>
      <c r="C64" s="3" t="s">
        <v>132</v>
      </c>
      <c r="D64" s="4" t="s">
        <v>32</v>
      </c>
      <c r="E64" s="5" t="s">
        <v>33</v>
      </c>
      <c r="F64" s="34">
        <v>0.9</v>
      </c>
      <c r="G64" s="7">
        <v>0.1</v>
      </c>
      <c r="H64" s="29" t="s">
        <v>34</v>
      </c>
    </row>
    <row r="65" spans="2:8" ht="16.5" customHeight="1" x14ac:dyDescent="0.3">
      <c r="B65" s="77"/>
      <c r="C65" s="3" t="s">
        <v>133</v>
      </c>
      <c r="D65" s="4" t="s">
        <v>35</v>
      </c>
      <c r="E65" s="5" t="s">
        <v>36</v>
      </c>
      <c r="F65" s="34">
        <v>0.7</v>
      </c>
      <c r="G65" s="7">
        <v>0.05</v>
      </c>
      <c r="H65" s="29" t="s">
        <v>37</v>
      </c>
    </row>
    <row r="66" spans="2:8" ht="17.25" customHeight="1" x14ac:dyDescent="0.3">
      <c r="B66" s="77"/>
      <c r="C66" s="3" t="s">
        <v>134</v>
      </c>
      <c r="D66" s="4" t="s">
        <v>38</v>
      </c>
      <c r="E66" s="5" t="s">
        <v>39</v>
      </c>
      <c r="F66" s="34">
        <v>0.7</v>
      </c>
      <c r="G66" s="7">
        <v>0.05</v>
      </c>
      <c r="H66" s="29" t="s">
        <v>39</v>
      </c>
    </row>
    <row r="67" spans="2:8" ht="16.5" customHeight="1" x14ac:dyDescent="0.3">
      <c r="B67" s="77"/>
      <c r="C67" s="3" t="s">
        <v>135</v>
      </c>
      <c r="D67" s="4" t="s">
        <v>40</v>
      </c>
      <c r="E67" s="5" t="s">
        <v>41</v>
      </c>
      <c r="F67" s="35">
        <v>1</v>
      </c>
      <c r="G67" s="7">
        <v>0.04</v>
      </c>
      <c r="H67" s="29" t="s">
        <v>41</v>
      </c>
    </row>
    <row r="68" spans="2:8" ht="16.5" customHeight="1" x14ac:dyDescent="0.3">
      <c r="B68" s="77"/>
      <c r="C68" s="3" t="s">
        <v>136</v>
      </c>
      <c r="D68" s="4" t="s">
        <v>42</v>
      </c>
      <c r="E68" s="5" t="s">
        <v>43</v>
      </c>
      <c r="F68" s="34">
        <v>0.95</v>
      </c>
      <c r="G68" s="7">
        <v>0.03</v>
      </c>
      <c r="H68" s="29" t="s">
        <v>43</v>
      </c>
    </row>
    <row r="69" spans="2:8" ht="17.25" customHeight="1" x14ac:dyDescent="0.3">
      <c r="B69" s="77"/>
      <c r="C69" s="3" t="s">
        <v>137</v>
      </c>
      <c r="D69" s="4" t="s">
        <v>44</v>
      </c>
      <c r="E69" s="5" t="s">
        <v>45</v>
      </c>
      <c r="F69" s="7">
        <v>0.9</v>
      </c>
      <c r="G69" s="7">
        <v>0.03</v>
      </c>
      <c r="H69" s="29" t="s">
        <v>46</v>
      </c>
    </row>
    <row r="70" spans="2:8" x14ac:dyDescent="0.3">
      <c r="B70" s="77" t="s">
        <v>116</v>
      </c>
      <c r="C70" s="3" t="s">
        <v>138</v>
      </c>
      <c r="D70" s="4" t="s">
        <v>105</v>
      </c>
      <c r="E70" s="5" t="s">
        <v>104</v>
      </c>
      <c r="F70" s="6">
        <v>2</v>
      </c>
      <c r="G70" s="7">
        <v>0.2</v>
      </c>
      <c r="H70" s="16" t="s">
        <v>166</v>
      </c>
    </row>
    <row r="71" spans="2:8" x14ac:dyDescent="0.3">
      <c r="B71" s="77"/>
      <c r="C71" s="3" t="s">
        <v>139</v>
      </c>
      <c r="D71" s="21" t="s">
        <v>98</v>
      </c>
      <c r="E71" s="21" t="s">
        <v>159</v>
      </c>
      <c r="F71" s="6">
        <v>8</v>
      </c>
      <c r="G71" s="7">
        <v>0.2</v>
      </c>
      <c r="H71" s="22" t="s">
        <v>159</v>
      </c>
    </row>
    <row r="72" spans="2:8" x14ac:dyDescent="0.3">
      <c r="B72" s="77"/>
      <c r="C72" s="3" t="s">
        <v>140</v>
      </c>
      <c r="D72" s="21" t="s">
        <v>99</v>
      </c>
      <c r="E72" s="21" t="s">
        <v>100</v>
      </c>
      <c r="F72" s="7">
        <v>0.98</v>
      </c>
      <c r="G72" s="7">
        <v>0.2</v>
      </c>
      <c r="H72" s="22" t="s">
        <v>102</v>
      </c>
    </row>
    <row r="73" spans="2:8" x14ac:dyDescent="0.3">
      <c r="B73" s="77"/>
      <c r="C73" s="3" t="s">
        <v>141</v>
      </c>
      <c r="D73" s="21" t="s">
        <v>128</v>
      </c>
      <c r="E73" s="21" t="s">
        <v>127</v>
      </c>
      <c r="F73" s="7">
        <v>0.98</v>
      </c>
      <c r="G73" s="7">
        <v>0.2</v>
      </c>
      <c r="H73" s="22" t="s">
        <v>165</v>
      </c>
    </row>
    <row r="74" spans="2:8" x14ac:dyDescent="0.3">
      <c r="B74" s="77"/>
      <c r="C74" s="3" t="s">
        <v>142</v>
      </c>
      <c r="D74" s="21" t="s">
        <v>101</v>
      </c>
      <c r="E74" s="21" t="s">
        <v>123</v>
      </c>
      <c r="F74" s="7">
        <v>0.98</v>
      </c>
      <c r="G74" s="7">
        <v>0.2</v>
      </c>
      <c r="H74" s="16" t="s">
        <v>123</v>
      </c>
    </row>
    <row r="75" spans="2:8" x14ac:dyDescent="0.3">
      <c r="B75" s="77" t="s">
        <v>117</v>
      </c>
      <c r="C75" s="3" t="s">
        <v>143</v>
      </c>
      <c r="D75" s="21" t="s">
        <v>176</v>
      </c>
      <c r="E75" s="21" t="s">
        <v>103</v>
      </c>
      <c r="F75" s="7">
        <v>0.9</v>
      </c>
      <c r="G75" s="7">
        <v>0.5</v>
      </c>
      <c r="H75" s="22" t="s">
        <v>165</v>
      </c>
    </row>
    <row r="76" spans="2:8" x14ac:dyDescent="0.3">
      <c r="B76" s="77"/>
      <c r="C76" s="3" t="s">
        <v>144</v>
      </c>
      <c r="D76" s="4" t="s">
        <v>18</v>
      </c>
      <c r="E76" s="5" t="s">
        <v>19</v>
      </c>
      <c r="F76" s="7">
        <v>0.9</v>
      </c>
      <c r="G76" s="7">
        <v>0.5</v>
      </c>
      <c r="H76" s="16" t="s">
        <v>20</v>
      </c>
    </row>
    <row r="77" spans="2:8" x14ac:dyDescent="0.3">
      <c r="B77" s="77" t="s">
        <v>118</v>
      </c>
      <c r="C77" s="3" t="s">
        <v>145</v>
      </c>
      <c r="D77" s="21" t="s">
        <v>161</v>
      </c>
      <c r="E77" s="21" t="s">
        <v>124</v>
      </c>
      <c r="F77" s="24">
        <v>0</v>
      </c>
      <c r="G77" s="24">
        <v>0</v>
      </c>
      <c r="H77" s="16" t="s">
        <v>174</v>
      </c>
    </row>
    <row r="78" spans="2:8" x14ac:dyDescent="0.3">
      <c r="B78" s="77"/>
      <c r="C78" s="3" t="s">
        <v>146</v>
      </c>
      <c r="D78" s="21" t="s">
        <v>106</v>
      </c>
      <c r="E78" s="21" t="s">
        <v>107</v>
      </c>
      <c r="F78" s="24">
        <v>0</v>
      </c>
      <c r="G78" s="24">
        <v>0</v>
      </c>
      <c r="H78" s="22" t="s">
        <v>173</v>
      </c>
    </row>
    <row r="79" spans="2:8" x14ac:dyDescent="0.3">
      <c r="B79" s="77"/>
      <c r="C79" s="3" t="s">
        <v>147</v>
      </c>
      <c r="D79" s="21" t="s">
        <v>108</v>
      </c>
      <c r="E79" s="21" t="s">
        <v>125</v>
      </c>
      <c r="F79" s="24">
        <v>0</v>
      </c>
      <c r="G79" s="24">
        <v>0</v>
      </c>
      <c r="H79" s="22" t="s">
        <v>172</v>
      </c>
    </row>
    <row r="80" spans="2:8" x14ac:dyDescent="0.3">
      <c r="B80" s="77"/>
      <c r="C80" s="3" t="s">
        <v>148</v>
      </c>
      <c r="D80" s="21" t="s">
        <v>109</v>
      </c>
      <c r="E80" s="21" t="s">
        <v>160</v>
      </c>
      <c r="F80" s="24">
        <v>0</v>
      </c>
      <c r="G80" s="24">
        <v>0</v>
      </c>
      <c r="H80" s="16" t="s">
        <v>171</v>
      </c>
    </row>
    <row r="81" spans="2:8" x14ac:dyDescent="0.3">
      <c r="B81" s="77"/>
      <c r="C81" s="3" t="s">
        <v>149</v>
      </c>
      <c r="D81" s="21" t="s">
        <v>110</v>
      </c>
      <c r="E81" s="21" t="s">
        <v>111</v>
      </c>
      <c r="F81" s="24">
        <v>0</v>
      </c>
      <c r="G81" s="24">
        <v>0</v>
      </c>
      <c r="H81" s="22" t="s">
        <v>168</v>
      </c>
    </row>
    <row r="82" spans="2:8" x14ac:dyDescent="0.3">
      <c r="B82" s="77"/>
      <c r="C82" s="3" t="s">
        <v>150</v>
      </c>
      <c r="D82" s="21" t="s">
        <v>112</v>
      </c>
      <c r="E82" s="21" t="s">
        <v>163</v>
      </c>
      <c r="F82" s="24">
        <v>0</v>
      </c>
      <c r="G82" s="24">
        <v>0</v>
      </c>
      <c r="H82" s="22" t="s">
        <v>113</v>
      </c>
    </row>
    <row r="83" spans="2:8" x14ac:dyDescent="0.3">
      <c r="B83" s="77"/>
      <c r="C83" s="3" t="s">
        <v>151</v>
      </c>
      <c r="D83" s="21" t="s">
        <v>119</v>
      </c>
      <c r="E83" s="21" t="s">
        <v>114</v>
      </c>
      <c r="F83" s="24">
        <v>0</v>
      </c>
      <c r="G83" s="24">
        <v>0</v>
      </c>
      <c r="H83" s="22" t="s">
        <v>164</v>
      </c>
    </row>
    <row r="84" spans="2:8" ht="18.75" thickBot="1" x14ac:dyDescent="0.35">
      <c r="B84" s="19" t="s">
        <v>154</v>
      </c>
      <c r="C84" s="8" t="s">
        <v>155</v>
      </c>
      <c r="D84" s="23" t="s">
        <v>157</v>
      </c>
      <c r="E84" s="23" t="s">
        <v>156</v>
      </c>
      <c r="F84" s="9">
        <v>80</v>
      </c>
      <c r="G84" s="25">
        <v>0</v>
      </c>
      <c r="H84" s="17" t="s">
        <v>158</v>
      </c>
    </row>
    <row r="85" spans="2:8" ht="18.75" thickTop="1" x14ac:dyDescent="0.3">
      <c r="B85" s="26"/>
      <c r="C85" s="12"/>
      <c r="D85" s="27"/>
      <c r="E85" s="27"/>
      <c r="F85" s="14"/>
      <c r="G85" s="28"/>
      <c r="H85" s="13"/>
    </row>
    <row r="86" spans="2:8" ht="24.75" x14ac:dyDescent="0.3">
      <c r="B86" s="78" t="s">
        <v>206</v>
      </c>
      <c r="C86" s="78"/>
      <c r="D86" s="78"/>
      <c r="E86" s="78"/>
      <c r="F86" s="78"/>
      <c r="G86" s="78"/>
      <c r="H86" s="78"/>
    </row>
    <row r="87" spans="2:8" ht="17.25" thickBot="1" x14ac:dyDescent="0.35">
      <c r="B87" s="79" t="s">
        <v>175</v>
      </c>
      <c r="C87" s="79"/>
      <c r="D87" s="79"/>
      <c r="E87" s="79"/>
      <c r="F87" s="79"/>
      <c r="G87" s="79"/>
      <c r="H87" s="79"/>
    </row>
    <row r="88" spans="2:8" ht="17.25" thickTop="1" x14ac:dyDescent="0.3">
      <c r="B88" s="1" t="s">
        <v>0</v>
      </c>
      <c r="C88" s="2" t="s">
        <v>1</v>
      </c>
      <c r="D88" s="2" t="s">
        <v>95</v>
      </c>
      <c r="E88" s="2" t="s">
        <v>96</v>
      </c>
      <c r="F88" s="2" t="s">
        <v>167</v>
      </c>
      <c r="G88" s="2" t="s">
        <v>2</v>
      </c>
      <c r="H88" s="15" t="s">
        <v>97</v>
      </c>
    </row>
    <row r="89" spans="2:8" ht="16.5" customHeight="1" x14ac:dyDescent="0.3">
      <c r="B89" s="77" t="s">
        <v>115</v>
      </c>
      <c r="C89" s="3" t="s">
        <v>129</v>
      </c>
      <c r="D89" s="21" t="s">
        <v>47</v>
      </c>
      <c r="E89" s="21" t="s">
        <v>48</v>
      </c>
      <c r="F89" s="10">
        <v>0.95</v>
      </c>
      <c r="G89" s="10">
        <v>0.2</v>
      </c>
      <c r="H89" s="31" t="s">
        <v>49</v>
      </c>
    </row>
    <row r="90" spans="2:8" ht="16.5" customHeight="1" x14ac:dyDescent="0.3">
      <c r="B90" s="77"/>
      <c r="C90" s="3" t="s">
        <v>130</v>
      </c>
      <c r="D90" s="4" t="s">
        <v>50</v>
      </c>
      <c r="E90" s="21" t="s">
        <v>51</v>
      </c>
      <c r="F90" s="7">
        <v>0.95</v>
      </c>
      <c r="G90" s="7">
        <v>0.2</v>
      </c>
      <c r="H90" s="16" t="s">
        <v>205</v>
      </c>
    </row>
    <row r="91" spans="2:8" ht="16.5" customHeight="1" x14ac:dyDescent="0.3">
      <c r="B91" s="77"/>
      <c r="C91" s="3" t="s">
        <v>131</v>
      </c>
      <c r="D91" s="21" t="s">
        <v>52</v>
      </c>
      <c r="E91" s="21" t="s">
        <v>53</v>
      </c>
      <c r="F91" s="7">
        <v>0.02</v>
      </c>
      <c r="G91" s="7">
        <v>0.1</v>
      </c>
      <c r="H91" s="16" t="s">
        <v>54</v>
      </c>
    </row>
    <row r="92" spans="2:8" ht="16.5" customHeight="1" x14ac:dyDescent="0.3">
      <c r="B92" s="77"/>
      <c r="C92" s="3" t="s">
        <v>132</v>
      </c>
      <c r="D92" s="21" t="s">
        <v>55</v>
      </c>
      <c r="E92" s="21" t="s">
        <v>56</v>
      </c>
      <c r="F92" s="7">
        <v>0.98</v>
      </c>
      <c r="G92" s="7">
        <v>0.1</v>
      </c>
      <c r="H92" s="16" t="s">
        <v>57</v>
      </c>
    </row>
    <row r="93" spans="2:8" x14ac:dyDescent="0.3">
      <c r="B93" s="77"/>
      <c r="C93" s="3" t="s">
        <v>133</v>
      </c>
      <c r="D93" s="21" t="s">
        <v>94</v>
      </c>
      <c r="E93" s="21" t="s">
        <v>212</v>
      </c>
      <c r="F93" s="7">
        <v>0.95</v>
      </c>
      <c r="G93" s="7">
        <v>0.1</v>
      </c>
      <c r="H93" s="16" t="s">
        <v>58</v>
      </c>
    </row>
    <row r="94" spans="2:8" ht="17.25" customHeight="1" x14ac:dyDescent="0.3">
      <c r="B94" s="77"/>
      <c r="C94" s="3" t="s">
        <v>134</v>
      </c>
      <c r="D94" s="21" t="s">
        <v>59</v>
      </c>
      <c r="E94" s="21" t="s">
        <v>211</v>
      </c>
      <c r="F94" s="7">
        <v>0.95</v>
      </c>
      <c r="G94" s="7">
        <v>0.05</v>
      </c>
      <c r="H94" s="16" t="s">
        <v>60</v>
      </c>
    </row>
    <row r="95" spans="2:8" ht="16.5" customHeight="1" x14ac:dyDescent="0.3">
      <c r="B95" s="77"/>
      <c r="C95" s="3" t="s">
        <v>135</v>
      </c>
      <c r="D95" s="21" t="s">
        <v>204</v>
      </c>
      <c r="E95" s="4" t="s">
        <v>61</v>
      </c>
      <c r="F95" s="7">
        <v>1</v>
      </c>
      <c r="G95" s="7">
        <v>0.1</v>
      </c>
      <c r="H95" s="16" t="s">
        <v>62</v>
      </c>
    </row>
    <row r="96" spans="2:8" ht="16.5" customHeight="1" x14ac:dyDescent="0.3">
      <c r="B96" s="77"/>
      <c r="C96" s="3" t="s">
        <v>136</v>
      </c>
      <c r="D96" s="21" t="s">
        <v>63</v>
      </c>
      <c r="E96" s="21" t="s">
        <v>64</v>
      </c>
      <c r="F96" s="32">
        <v>0.95</v>
      </c>
      <c r="G96" s="32">
        <v>0.1</v>
      </c>
      <c r="H96" s="33" t="s">
        <v>65</v>
      </c>
    </row>
    <row r="97" spans="2:8" ht="17.25" customHeight="1" x14ac:dyDescent="0.3">
      <c r="B97" s="77"/>
      <c r="C97" s="3" t="s">
        <v>137</v>
      </c>
      <c r="D97" s="4" t="s">
        <v>66</v>
      </c>
      <c r="E97" s="5" t="s">
        <v>67</v>
      </c>
      <c r="F97" s="32">
        <v>0.95</v>
      </c>
      <c r="G97" s="32">
        <v>0.05</v>
      </c>
      <c r="H97" s="33" t="s">
        <v>68</v>
      </c>
    </row>
    <row r="98" spans="2:8" x14ac:dyDescent="0.3">
      <c r="B98" s="77" t="s">
        <v>116</v>
      </c>
      <c r="C98" s="3" t="s">
        <v>138</v>
      </c>
      <c r="D98" s="4" t="s">
        <v>105</v>
      </c>
      <c r="E98" s="5" t="s">
        <v>104</v>
      </c>
      <c r="F98" s="6">
        <v>2</v>
      </c>
      <c r="G98" s="7">
        <v>0.2</v>
      </c>
      <c r="H98" s="16" t="s">
        <v>166</v>
      </c>
    </row>
    <row r="99" spans="2:8" x14ac:dyDescent="0.3">
      <c r="B99" s="77"/>
      <c r="C99" s="3" t="s">
        <v>139</v>
      </c>
      <c r="D99" s="21" t="s">
        <v>98</v>
      </c>
      <c r="E99" s="21" t="s">
        <v>159</v>
      </c>
      <c r="F99" s="6">
        <v>7</v>
      </c>
      <c r="G99" s="7">
        <v>0.2</v>
      </c>
      <c r="H99" s="22" t="s">
        <v>159</v>
      </c>
    </row>
    <row r="100" spans="2:8" x14ac:dyDescent="0.3">
      <c r="B100" s="77"/>
      <c r="C100" s="3" t="s">
        <v>140</v>
      </c>
      <c r="D100" s="21" t="s">
        <v>99</v>
      </c>
      <c r="E100" s="21" t="s">
        <v>100</v>
      </c>
      <c r="F100" s="7">
        <v>0.98</v>
      </c>
      <c r="G100" s="7">
        <v>0.2</v>
      </c>
      <c r="H100" s="22" t="s">
        <v>102</v>
      </c>
    </row>
    <row r="101" spans="2:8" x14ac:dyDescent="0.3">
      <c r="B101" s="77"/>
      <c r="C101" s="3" t="s">
        <v>141</v>
      </c>
      <c r="D101" s="21" t="s">
        <v>128</v>
      </c>
      <c r="E101" s="21" t="s">
        <v>127</v>
      </c>
      <c r="F101" s="7">
        <v>0.98</v>
      </c>
      <c r="G101" s="7">
        <v>0.2</v>
      </c>
      <c r="H101" s="22" t="s">
        <v>165</v>
      </c>
    </row>
    <row r="102" spans="2:8" x14ac:dyDescent="0.3">
      <c r="B102" s="77"/>
      <c r="C102" s="3" t="s">
        <v>142</v>
      </c>
      <c r="D102" s="21" t="s">
        <v>101</v>
      </c>
      <c r="E102" s="21" t="s">
        <v>123</v>
      </c>
      <c r="F102" s="7">
        <v>0.98</v>
      </c>
      <c r="G102" s="7">
        <v>0.2</v>
      </c>
      <c r="H102" s="16" t="s">
        <v>123</v>
      </c>
    </row>
    <row r="103" spans="2:8" x14ac:dyDescent="0.3">
      <c r="B103" s="77" t="s">
        <v>117</v>
      </c>
      <c r="C103" s="3" t="s">
        <v>143</v>
      </c>
      <c r="D103" s="21" t="s">
        <v>176</v>
      </c>
      <c r="E103" s="21" t="s">
        <v>103</v>
      </c>
      <c r="F103" s="7">
        <v>0.9</v>
      </c>
      <c r="G103" s="7">
        <v>0.5</v>
      </c>
      <c r="H103" s="22" t="s">
        <v>165</v>
      </c>
    </row>
    <row r="104" spans="2:8" x14ac:dyDescent="0.3">
      <c r="B104" s="77"/>
      <c r="C104" s="3" t="s">
        <v>144</v>
      </c>
      <c r="D104" s="4" t="s">
        <v>18</v>
      </c>
      <c r="E104" s="5" t="s">
        <v>19</v>
      </c>
      <c r="F104" s="7">
        <v>0.9</v>
      </c>
      <c r="G104" s="7">
        <v>0.5</v>
      </c>
      <c r="H104" s="16" t="s">
        <v>20</v>
      </c>
    </row>
    <row r="105" spans="2:8" x14ac:dyDescent="0.3">
      <c r="B105" s="77" t="s">
        <v>118</v>
      </c>
      <c r="C105" s="3" t="s">
        <v>145</v>
      </c>
      <c r="D105" s="21" t="s">
        <v>161</v>
      </c>
      <c r="E105" s="21" t="s">
        <v>124</v>
      </c>
      <c r="F105" s="24">
        <v>0</v>
      </c>
      <c r="G105" s="24">
        <v>0</v>
      </c>
      <c r="H105" s="16" t="s">
        <v>174</v>
      </c>
    </row>
    <row r="106" spans="2:8" x14ac:dyDescent="0.3">
      <c r="B106" s="77"/>
      <c r="C106" s="3" t="s">
        <v>146</v>
      </c>
      <c r="D106" s="21" t="s">
        <v>106</v>
      </c>
      <c r="E106" s="21" t="s">
        <v>107</v>
      </c>
      <c r="F106" s="24">
        <v>0</v>
      </c>
      <c r="G106" s="24">
        <v>0</v>
      </c>
      <c r="H106" s="22" t="s">
        <v>173</v>
      </c>
    </row>
    <row r="107" spans="2:8" x14ac:dyDescent="0.3">
      <c r="B107" s="77"/>
      <c r="C107" s="3" t="s">
        <v>147</v>
      </c>
      <c r="D107" s="21" t="s">
        <v>108</v>
      </c>
      <c r="E107" s="21" t="s">
        <v>125</v>
      </c>
      <c r="F107" s="24">
        <v>0</v>
      </c>
      <c r="G107" s="24">
        <v>0</v>
      </c>
      <c r="H107" s="22" t="s">
        <v>172</v>
      </c>
    </row>
    <row r="108" spans="2:8" x14ac:dyDescent="0.3">
      <c r="B108" s="77"/>
      <c r="C108" s="3" t="s">
        <v>148</v>
      </c>
      <c r="D108" s="21" t="s">
        <v>109</v>
      </c>
      <c r="E108" s="21" t="s">
        <v>160</v>
      </c>
      <c r="F108" s="24">
        <v>0</v>
      </c>
      <c r="G108" s="24">
        <v>0</v>
      </c>
      <c r="H108" s="16" t="s">
        <v>171</v>
      </c>
    </row>
    <row r="109" spans="2:8" x14ac:dyDescent="0.3">
      <c r="B109" s="77"/>
      <c r="C109" s="3" t="s">
        <v>149</v>
      </c>
      <c r="D109" s="21" t="s">
        <v>110</v>
      </c>
      <c r="E109" s="21" t="s">
        <v>111</v>
      </c>
      <c r="F109" s="24">
        <v>0</v>
      </c>
      <c r="G109" s="24">
        <v>0</v>
      </c>
      <c r="H109" s="22" t="s">
        <v>168</v>
      </c>
    </row>
    <row r="110" spans="2:8" x14ac:dyDescent="0.3">
      <c r="B110" s="77"/>
      <c r="C110" s="3" t="s">
        <v>150</v>
      </c>
      <c r="D110" s="21" t="s">
        <v>112</v>
      </c>
      <c r="E110" s="21" t="s">
        <v>163</v>
      </c>
      <c r="F110" s="24">
        <v>0</v>
      </c>
      <c r="G110" s="24">
        <v>0</v>
      </c>
      <c r="H110" s="22" t="s">
        <v>113</v>
      </c>
    </row>
    <row r="111" spans="2:8" x14ac:dyDescent="0.3">
      <c r="B111" s="77"/>
      <c r="C111" s="3" t="s">
        <v>151</v>
      </c>
      <c r="D111" s="21" t="s">
        <v>119</v>
      </c>
      <c r="E111" s="21" t="s">
        <v>114</v>
      </c>
      <c r="F111" s="24">
        <v>0</v>
      </c>
      <c r="G111" s="24">
        <v>0</v>
      </c>
      <c r="H111" s="22" t="s">
        <v>164</v>
      </c>
    </row>
    <row r="112" spans="2:8" ht="18.75" thickBot="1" x14ac:dyDescent="0.35">
      <c r="B112" s="19" t="s">
        <v>154</v>
      </c>
      <c r="C112" s="8" t="s">
        <v>155</v>
      </c>
      <c r="D112" s="23" t="s">
        <v>157</v>
      </c>
      <c r="E112" s="23" t="s">
        <v>156</v>
      </c>
      <c r="F112" s="9">
        <v>80</v>
      </c>
      <c r="G112" s="25">
        <v>0</v>
      </c>
      <c r="H112" s="17" t="s">
        <v>158</v>
      </c>
    </row>
    <row r="113" spans="2:8" ht="18.75" thickTop="1" x14ac:dyDescent="0.3">
      <c r="B113" s="26"/>
      <c r="C113" s="12"/>
      <c r="D113" s="27"/>
      <c r="E113" s="27"/>
      <c r="F113" s="14"/>
      <c r="G113" s="28"/>
      <c r="H113" s="13"/>
    </row>
    <row r="114" spans="2:8" ht="24.75" x14ac:dyDescent="0.3">
      <c r="B114" s="78" t="s">
        <v>207</v>
      </c>
      <c r="C114" s="78"/>
      <c r="D114" s="78"/>
      <c r="E114" s="78"/>
      <c r="F114" s="78"/>
      <c r="G114" s="78"/>
      <c r="H114" s="78"/>
    </row>
    <row r="115" spans="2:8" ht="17.25" thickBot="1" x14ac:dyDescent="0.35">
      <c r="B115" s="79" t="s">
        <v>175</v>
      </c>
      <c r="C115" s="79"/>
      <c r="D115" s="79"/>
      <c r="E115" s="79"/>
      <c r="F115" s="79"/>
      <c r="G115" s="79"/>
      <c r="H115" s="79"/>
    </row>
    <row r="116" spans="2:8" ht="17.25" thickTop="1" x14ac:dyDescent="0.3">
      <c r="B116" s="1" t="s">
        <v>0</v>
      </c>
      <c r="C116" s="2" t="s">
        <v>1</v>
      </c>
      <c r="D116" s="2" t="s">
        <v>95</v>
      </c>
      <c r="E116" s="2" t="s">
        <v>96</v>
      </c>
      <c r="F116" s="2" t="s">
        <v>167</v>
      </c>
      <c r="G116" s="2" t="s">
        <v>2</v>
      </c>
      <c r="H116" s="15" t="s">
        <v>97</v>
      </c>
    </row>
    <row r="117" spans="2:8" ht="16.5" customHeight="1" x14ac:dyDescent="0.3">
      <c r="B117" s="77" t="s">
        <v>208</v>
      </c>
      <c r="C117" s="3" t="s">
        <v>129</v>
      </c>
      <c r="D117" s="4" t="s">
        <v>69</v>
      </c>
      <c r="E117" s="4" t="s">
        <v>70</v>
      </c>
      <c r="F117" s="7">
        <v>0.99</v>
      </c>
      <c r="G117" s="7">
        <v>0.2</v>
      </c>
      <c r="H117" s="29" t="s">
        <v>71</v>
      </c>
    </row>
    <row r="118" spans="2:8" ht="16.5" customHeight="1" x14ac:dyDescent="0.3">
      <c r="B118" s="77"/>
      <c r="C118" s="3" t="s">
        <v>130</v>
      </c>
      <c r="D118" s="4" t="s">
        <v>72</v>
      </c>
      <c r="E118" s="4" t="s">
        <v>73</v>
      </c>
      <c r="F118" s="7">
        <v>0.97</v>
      </c>
      <c r="G118" s="7">
        <v>0.1</v>
      </c>
      <c r="H118" s="29" t="s">
        <v>74</v>
      </c>
    </row>
    <row r="119" spans="2:8" x14ac:dyDescent="0.3">
      <c r="B119" s="77"/>
      <c r="C119" s="3" t="s">
        <v>131</v>
      </c>
      <c r="D119" s="4" t="s">
        <v>75</v>
      </c>
      <c r="E119" s="30" t="s">
        <v>210</v>
      </c>
      <c r="F119" s="7">
        <v>0.98</v>
      </c>
      <c r="G119" s="7">
        <v>0.1</v>
      </c>
      <c r="H119" s="29" t="s">
        <v>76</v>
      </c>
    </row>
    <row r="120" spans="2:8" x14ac:dyDescent="0.3">
      <c r="B120" s="77"/>
      <c r="C120" s="3" t="s">
        <v>132</v>
      </c>
      <c r="D120" s="4" t="s">
        <v>77</v>
      </c>
      <c r="E120" s="30" t="s">
        <v>209</v>
      </c>
      <c r="F120" s="7">
        <v>7.0000000000000007E-2</v>
      </c>
      <c r="G120" s="7">
        <v>0.1</v>
      </c>
      <c r="H120" s="29" t="s">
        <v>78</v>
      </c>
    </row>
    <row r="121" spans="2:8" ht="17.25" customHeight="1" x14ac:dyDescent="0.3">
      <c r="B121" s="77"/>
      <c r="C121" s="3" t="s">
        <v>133</v>
      </c>
      <c r="D121" s="4" t="s">
        <v>79</v>
      </c>
      <c r="E121" s="4" t="s">
        <v>80</v>
      </c>
      <c r="F121" s="7">
        <v>0.98</v>
      </c>
      <c r="G121" s="7">
        <v>0.1</v>
      </c>
      <c r="H121" s="29" t="s">
        <v>81</v>
      </c>
    </row>
    <row r="122" spans="2:8" ht="16.5" customHeight="1" x14ac:dyDescent="0.3">
      <c r="B122" s="77"/>
      <c r="C122" s="3" t="s">
        <v>134</v>
      </c>
      <c r="D122" s="4" t="s">
        <v>82</v>
      </c>
      <c r="E122" s="4" t="s">
        <v>83</v>
      </c>
      <c r="F122" s="7">
        <v>1</v>
      </c>
      <c r="G122" s="7">
        <v>0.1</v>
      </c>
      <c r="H122" s="29" t="s">
        <v>84</v>
      </c>
    </row>
    <row r="123" spans="2:8" ht="16.5" customHeight="1" x14ac:dyDescent="0.3">
      <c r="B123" s="77"/>
      <c r="C123" s="3" t="s">
        <v>135</v>
      </c>
      <c r="D123" s="4" t="s">
        <v>85</v>
      </c>
      <c r="E123" s="4" t="s">
        <v>86</v>
      </c>
      <c r="F123" s="7">
        <v>0.96</v>
      </c>
      <c r="G123" s="7">
        <v>0.1</v>
      </c>
      <c r="H123" s="29" t="s">
        <v>87</v>
      </c>
    </row>
    <row r="124" spans="2:8" ht="16.5" customHeight="1" x14ac:dyDescent="0.3">
      <c r="B124" s="77"/>
      <c r="C124" s="3" t="s">
        <v>136</v>
      </c>
      <c r="D124" s="5" t="s">
        <v>88</v>
      </c>
      <c r="E124" s="5" t="s">
        <v>89</v>
      </c>
      <c r="F124" s="7">
        <v>0.98</v>
      </c>
      <c r="G124" s="7">
        <v>0.1</v>
      </c>
      <c r="H124" s="29" t="s">
        <v>90</v>
      </c>
    </row>
    <row r="125" spans="2:8" ht="16.5" customHeight="1" x14ac:dyDescent="0.3">
      <c r="B125" s="77"/>
      <c r="C125" s="3" t="s">
        <v>137</v>
      </c>
      <c r="D125" s="4" t="s">
        <v>91</v>
      </c>
      <c r="E125" s="4" t="s">
        <v>92</v>
      </c>
      <c r="F125" s="7">
        <v>0.99</v>
      </c>
      <c r="G125" s="7">
        <v>0.1</v>
      </c>
      <c r="H125" s="29" t="s">
        <v>93</v>
      </c>
    </row>
    <row r="126" spans="2:8" x14ac:dyDescent="0.3">
      <c r="B126" s="77" t="s">
        <v>116</v>
      </c>
      <c r="C126" s="3" t="s">
        <v>138</v>
      </c>
      <c r="D126" s="4" t="s">
        <v>105</v>
      </c>
      <c r="E126" s="5" t="s">
        <v>104</v>
      </c>
      <c r="F126" s="6">
        <v>2</v>
      </c>
      <c r="G126" s="7">
        <v>0.2</v>
      </c>
      <c r="H126" s="16" t="s">
        <v>166</v>
      </c>
    </row>
    <row r="127" spans="2:8" x14ac:dyDescent="0.3">
      <c r="B127" s="77"/>
      <c r="C127" s="3" t="s">
        <v>139</v>
      </c>
      <c r="D127" s="21" t="s">
        <v>98</v>
      </c>
      <c r="E127" s="21" t="s">
        <v>159</v>
      </c>
      <c r="F127" s="6">
        <v>6.5</v>
      </c>
      <c r="G127" s="7">
        <v>0.2</v>
      </c>
      <c r="H127" s="22" t="s">
        <v>159</v>
      </c>
    </row>
    <row r="128" spans="2:8" x14ac:dyDescent="0.3">
      <c r="B128" s="77"/>
      <c r="C128" s="3" t="s">
        <v>140</v>
      </c>
      <c r="D128" s="21" t="s">
        <v>99</v>
      </c>
      <c r="E128" s="21" t="s">
        <v>100</v>
      </c>
      <c r="F128" s="7">
        <v>0.98</v>
      </c>
      <c r="G128" s="7">
        <v>0.2</v>
      </c>
      <c r="H128" s="22" t="s">
        <v>102</v>
      </c>
    </row>
    <row r="129" spans="2:8" x14ac:dyDescent="0.3">
      <c r="B129" s="77"/>
      <c r="C129" s="3" t="s">
        <v>141</v>
      </c>
      <c r="D129" s="21" t="s">
        <v>128</v>
      </c>
      <c r="E129" s="21" t="s">
        <v>127</v>
      </c>
      <c r="F129" s="7">
        <v>0.98</v>
      </c>
      <c r="G129" s="7">
        <v>0.2</v>
      </c>
      <c r="H129" s="22" t="s">
        <v>165</v>
      </c>
    </row>
    <row r="130" spans="2:8" x14ac:dyDescent="0.3">
      <c r="B130" s="77"/>
      <c r="C130" s="3" t="s">
        <v>142</v>
      </c>
      <c r="D130" s="21" t="s">
        <v>101</v>
      </c>
      <c r="E130" s="21" t="s">
        <v>123</v>
      </c>
      <c r="F130" s="7">
        <v>0.98</v>
      </c>
      <c r="G130" s="7">
        <v>0.2</v>
      </c>
      <c r="H130" s="16" t="s">
        <v>123</v>
      </c>
    </row>
    <row r="131" spans="2:8" x14ac:dyDescent="0.3">
      <c r="B131" s="77" t="s">
        <v>117</v>
      </c>
      <c r="C131" s="3" t="s">
        <v>143</v>
      </c>
      <c r="D131" s="21" t="s">
        <v>176</v>
      </c>
      <c r="E131" s="21" t="s">
        <v>103</v>
      </c>
      <c r="F131" s="7">
        <v>0.9</v>
      </c>
      <c r="G131" s="7">
        <v>0.5</v>
      </c>
      <c r="H131" s="22" t="s">
        <v>165</v>
      </c>
    </row>
    <row r="132" spans="2:8" x14ac:dyDescent="0.3">
      <c r="B132" s="77"/>
      <c r="C132" s="3" t="s">
        <v>144</v>
      </c>
      <c r="D132" s="4" t="s">
        <v>18</v>
      </c>
      <c r="E132" s="5" t="s">
        <v>19</v>
      </c>
      <c r="F132" s="7">
        <v>0.9</v>
      </c>
      <c r="G132" s="7">
        <v>0.5</v>
      </c>
      <c r="H132" s="16" t="s">
        <v>20</v>
      </c>
    </row>
    <row r="133" spans="2:8" x14ac:dyDescent="0.3">
      <c r="B133" s="77" t="s">
        <v>118</v>
      </c>
      <c r="C133" s="3" t="s">
        <v>145</v>
      </c>
      <c r="D133" s="21" t="s">
        <v>161</v>
      </c>
      <c r="E133" s="21" t="s">
        <v>124</v>
      </c>
      <c r="F133" s="24">
        <v>0</v>
      </c>
      <c r="G133" s="24">
        <v>0</v>
      </c>
      <c r="H133" s="16" t="s">
        <v>174</v>
      </c>
    </row>
    <row r="134" spans="2:8" x14ac:dyDescent="0.3">
      <c r="B134" s="77"/>
      <c r="C134" s="3" t="s">
        <v>146</v>
      </c>
      <c r="D134" s="21" t="s">
        <v>106</v>
      </c>
      <c r="E134" s="21" t="s">
        <v>107</v>
      </c>
      <c r="F134" s="24">
        <v>0</v>
      </c>
      <c r="G134" s="24">
        <v>0</v>
      </c>
      <c r="H134" s="22" t="s">
        <v>173</v>
      </c>
    </row>
    <row r="135" spans="2:8" x14ac:dyDescent="0.3">
      <c r="B135" s="77"/>
      <c r="C135" s="3" t="s">
        <v>147</v>
      </c>
      <c r="D135" s="21" t="s">
        <v>108</v>
      </c>
      <c r="E135" s="21" t="s">
        <v>125</v>
      </c>
      <c r="F135" s="24">
        <v>0</v>
      </c>
      <c r="G135" s="24">
        <v>0</v>
      </c>
      <c r="H135" s="22" t="s">
        <v>172</v>
      </c>
    </row>
    <row r="136" spans="2:8" x14ac:dyDescent="0.3">
      <c r="B136" s="77"/>
      <c r="C136" s="3" t="s">
        <v>148</v>
      </c>
      <c r="D136" s="21" t="s">
        <v>109</v>
      </c>
      <c r="E136" s="21" t="s">
        <v>160</v>
      </c>
      <c r="F136" s="24">
        <v>0</v>
      </c>
      <c r="G136" s="24">
        <v>0</v>
      </c>
      <c r="H136" s="16" t="s">
        <v>171</v>
      </c>
    </row>
    <row r="137" spans="2:8" x14ac:dyDescent="0.3">
      <c r="B137" s="77"/>
      <c r="C137" s="3" t="s">
        <v>149</v>
      </c>
      <c r="D137" s="21" t="s">
        <v>110</v>
      </c>
      <c r="E137" s="21" t="s">
        <v>111</v>
      </c>
      <c r="F137" s="24">
        <v>0</v>
      </c>
      <c r="G137" s="24">
        <v>0</v>
      </c>
      <c r="H137" s="22" t="s">
        <v>168</v>
      </c>
    </row>
    <row r="138" spans="2:8" x14ac:dyDescent="0.3">
      <c r="B138" s="77"/>
      <c r="C138" s="3" t="s">
        <v>150</v>
      </c>
      <c r="D138" s="21" t="s">
        <v>112</v>
      </c>
      <c r="E138" s="21" t="s">
        <v>163</v>
      </c>
      <c r="F138" s="24">
        <v>0</v>
      </c>
      <c r="G138" s="24">
        <v>0</v>
      </c>
      <c r="H138" s="22" t="s">
        <v>113</v>
      </c>
    </row>
    <row r="139" spans="2:8" x14ac:dyDescent="0.3">
      <c r="B139" s="77"/>
      <c r="C139" s="3" t="s">
        <v>151</v>
      </c>
      <c r="D139" s="21" t="s">
        <v>119</v>
      </c>
      <c r="E139" s="21" t="s">
        <v>114</v>
      </c>
      <c r="F139" s="24">
        <v>0</v>
      </c>
      <c r="G139" s="24">
        <v>0</v>
      </c>
      <c r="H139" s="22" t="s">
        <v>164</v>
      </c>
    </row>
    <row r="140" spans="2:8" ht="18.75" thickBot="1" x14ac:dyDescent="0.35">
      <c r="B140" s="19" t="s">
        <v>154</v>
      </c>
      <c r="C140" s="8" t="s">
        <v>155</v>
      </c>
      <c r="D140" s="23" t="s">
        <v>157</v>
      </c>
      <c r="E140" s="23" t="s">
        <v>156</v>
      </c>
      <c r="F140" s="9">
        <v>80</v>
      </c>
      <c r="G140" s="25">
        <v>0</v>
      </c>
      <c r="H140" s="17" t="s">
        <v>158</v>
      </c>
    </row>
    <row r="141" spans="2:8" ht="17.25" thickTop="1" x14ac:dyDescent="0.3"/>
  </sheetData>
  <protectedRanges>
    <protectedRange password="CC41" sqref="D15 D43 D71 D99 D127" name="区域1_17_3_1_2_2"/>
    <protectedRange password="CC41" sqref="H15 H43 H71 H99 H127" name="区域1_17_3_1_2_2_1"/>
    <protectedRange password="CC41" sqref="E15 E43 E71 E99 E127" name="区域1_17_3_1_2_2_2"/>
    <protectedRange password="CC41" sqref="H17 H47 H19 H45 H75 H73 H103 H101 H131 H129" name="区域1_17_5_3"/>
    <protectedRange password="CC41" sqref="E19 E47 E75 E103 E131" name="区域1_17_5_1_9_1"/>
    <protectedRange password="CC41" sqref="D22:E22 D50:E50 D78:E78 D106:E106 D134:E134" name="区域1_17_14"/>
    <protectedRange password="CC41" sqref="H22 H50 H78 H106 H134" name="区域1_17_14_1"/>
    <protectedRange password="CC41" sqref="D23:E23 D51:E51 D79:E79 D107:E107 D135:E135" name="区域1_17_14_1_4"/>
    <protectedRange password="CC41" sqref="H23 H51 H79 H107 H135" name="区域1_17_5_3_1_1_1_2_5"/>
    <protectedRange password="CC41" sqref="H33:H34" name="区域1_17_3_1_2_1_3_1"/>
    <protectedRange password="CC41" sqref="H38" name="区域1_17_1_1_2_1_1"/>
    <protectedRange password="CC41" sqref="H40" name="区域1_17_1_2_19"/>
    <protectedRange password="CC41" sqref="H39" name="区域1_17_1_2_1_1_1"/>
  </protectedRanges>
  <mergeCells count="30">
    <mergeCell ref="B87:H87"/>
    <mergeCell ref="B3:H3"/>
    <mergeCell ref="B5:B13"/>
    <mergeCell ref="B2:H2"/>
    <mergeCell ref="B61:B69"/>
    <mergeCell ref="B89:B97"/>
    <mergeCell ref="B14:B18"/>
    <mergeCell ref="B19:B20"/>
    <mergeCell ref="B21:B27"/>
    <mergeCell ref="B70:B74"/>
    <mergeCell ref="B75:B76"/>
    <mergeCell ref="B77:B83"/>
    <mergeCell ref="B30:H30"/>
    <mergeCell ref="B31:H31"/>
    <mergeCell ref="B33:B41"/>
    <mergeCell ref="B42:B46"/>
    <mergeCell ref="B47:B48"/>
    <mergeCell ref="B49:B55"/>
    <mergeCell ref="B58:H58"/>
    <mergeCell ref="B86:H86"/>
    <mergeCell ref="B59:H59"/>
    <mergeCell ref="B126:B130"/>
    <mergeCell ref="B131:B132"/>
    <mergeCell ref="B133:B139"/>
    <mergeCell ref="B98:B102"/>
    <mergeCell ref="B103:B104"/>
    <mergeCell ref="B105:B111"/>
    <mergeCell ref="B114:H114"/>
    <mergeCell ref="B115:H115"/>
    <mergeCell ref="B117:B125"/>
  </mergeCells>
  <phoneticPr fontId="1" type="noConversion"/>
  <pageMargins left="0.7" right="0.7" top="0.75" bottom="0.75" header="0.3" footer="0.3"/>
  <pageSetup paperSize="9" scale="60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AD06-0DB7-4F80-88E7-1B838ED9FFB4}">
  <sheetPr>
    <pageSetUpPr fitToPage="1"/>
  </sheetPr>
  <dimension ref="B2:W141"/>
  <sheetViews>
    <sheetView zoomScale="70" zoomScaleNormal="70" workbookViewId="0">
      <selection activeCell="AB12" sqref="AB12"/>
    </sheetView>
  </sheetViews>
  <sheetFormatPr defaultRowHeight="16.5" x14ac:dyDescent="0.3"/>
  <cols>
    <col min="1" max="1" width="3" style="11" customWidth="1"/>
    <col min="2" max="2" width="14" style="11" customWidth="1"/>
    <col min="3" max="3" width="9" style="11"/>
    <col min="4" max="4" width="25.625" style="11" customWidth="1"/>
    <col min="5" max="12" width="13.625" style="11" customWidth="1"/>
    <col min="13" max="13" width="15" style="11" hidden="1" customWidth="1"/>
    <col min="14" max="14" width="0" style="11" hidden="1" customWidth="1"/>
    <col min="15" max="15" width="52.875" style="11" hidden="1" customWidth="1"/>
    <col min="16" max="18" width="9.625" style="37" hidden="1" customWidth="1"/>
    <col min="19" max="23" width="0" style="37" hidden="1" customWidth="1"/>
    <col min="24" max="24" width="0" style="11" hidden="1" customWidth="1"/>
    <col min="25" max="16384" width="9" style="11"/>
  </cols>
  <sheetData>
    <row r="2" spans="2:23" ht="22.5" x14ac:dyDescent="0.3">
      <c r="B2" s="80" t="s">
        <v>273</v>
      </c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2:23" ht="18" customHeight="1" thickBot="1" x14ac:dyDescent="0.35">
      <c r="B3" s="79" t="s">
        <v>175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20"/>
      <c r="N3" s="20"/>
      <c r="O3" s="20"/>
      <c r="P3" s="44"/>
    </row>
    <row r="4" spans="2:23" ht="22.5" customHeight="1" thickTop="1" x14ac:dyDescent="0.3">
      <c r="B4" s="1" t="s">
        <v>0</v>
      </c>
      <c r="C4" s="2" t="s">
        <v>1</v>
      </c>
      <c r="D4" s="2" t="s">
        <v>95</v>
      </c>
      <c r="E4" s="41" t="s">
        <v>217</v>
      </c>
      <c r="F4" s="41" t="s">
        <v>218</v>
      </c>
      <c r="G4" s="41" t="s">
        <v>219</v>
      </c>
      <c r="H4" s="41" t="s">
        <v>220</v>
      </c>
      <c r="I4" s="41" t="s">
        <v>221</v>
      </c>
      <c r="J4" s="41" t="s">
        <v>222</v>
      </c>
      <c r="K4" s="41" t="s">
        <v>223</v>
      </c>
      <c r="L4" s="15" t="s">
        <v>224</v>
      </c>
      <c r="M4" s="49" t="s">
        <v>167</v>
      </c>
      <c r="N4" s="2" t="s">
        <v>2</v>
      </c>
      <c r="O4" s="15" t="s">
        <v>97</v>
      </c>
      <c r="P4" s="40" t="s">
        <v>217</v>
      </c>
      <c r="Q4" s="40" t="s">
        <v>218</v>
      </c>
      <c r="R4" s="40" t="s">
        <v>219</v>
      </c>
      <c r="S4" s="40" t="s">
        <v>220</v>
      </c>
      <c r="T4" s="40" t="s">
        <v>221</v>
      </c>
      <c r="U4" s="40" t="s">
        <v>222</v>
      </c>
      <c r="V4" s="40" t="s">
        <v>223</v>
      </c>
      <c r="W4" s="40" t="s">
        <v>224</v>
      </c>
    </row>
    <row r="5" spans="2:23" x14ac:dyDescent="0.3">
      <c r="B5" s="77" t="s">
        <v>115</v>
      </c>
      <c r="C5" s="3" t="s">
        <v>129</v>
      </c>
      <c r="D5" s="4" t="s">
        <v>126</v>
      </c>
      <c r="E5" s="6">
        <v>1800</v>
      </c>
      <c r="F5" s="6">
        <v>2650</v>
      </c>
      <c r="G5" s="6">
        <v>1000</v>
      </c>
      <c r="H5" s="6">
        <v>2600</v>
      </c>
      <c r="I5" s="6">
        <v>2500</v>
      </c>
      <c r="J5" s="6">
        <v>2750</v>
      </c>
      <c r="K5" s="6">
        <v>2480</v>
      </c>
      <c r="L5" s="51">
        <v>2589</v>
      </c>
      <c r="M5" s="50">
        <f>KPI指标及权重设计表!F5</f>
        <v>2500</v>
      </c>
      <c r="N5" s="7">
        <f>KPI指标及权重设计表!G5</f>
        <v>0.4</v>
      </c>
      <c r="O5" s="16" t="s">
        <v>4</v>
      </c>
      <c r="P5" s="37">
        <f>E5/$M$5*100*0.7*$N$5</f>
        <v>20.16</v>
      </c>
      <c r="Q5" s="37">
        <f t="shared" ref="Q5:W5" si="0">F5/$M$5*100*0.7*$N$5</f>
        <v>29.679999999999996</v>
      </c>
      <c r="R5" s="37">
        <f t="shared" si="0"/>
        <v>11.200000000000001</v>
      </c>
      <c r="S5" s="37">
        <f>H5/$M$5*100*0.7*$N$5</f>
        <v>29.12</v>
      </c>
      <c r="T5" s="37">
        <f t="shared" si="0"/>
        <v>28</v>
      </c>
      <c r="U5" s="37">
        <f t="shared" si="0"/>
        <v>30.8</v>
      </c>
      <c r="V5" s="37">
        <f t="shared" si="0"/>
        <v>27.776</v>
      </c>
      <c r="W5" s="37">
        <f t="shared" si="0"/>
        <v>28.996799999999997</v>
      </c>
    </row>
    <row r="6" spans="2:23" x14ac:dyDescent="0.3">
      <c r="B6" s="77"/>
      <c r="C6" s="3" t="s">
        <v>130</v>
      </c>
      <c r="D6" s="4" t="s">
        <v>5</v>
      </c>
      <c r="E6" s="7">
        <v>0.76</v>
      </c>
      <c r="F6" s="7">
        <v>0.88</v>
      </c>
      <c r="G6" s="7">
        <v>0.6</v>
      </c>
      <c r="H6" s="7">
        <v>0.88</v>
      </c>
      <c r="I6" s="7">
        <v>0.76</v>
      </c>
      <c r="J6" s="7">
        <v>0.79</v>
      </c>
      <c r="K6" s="7">
        <v>0.96</v>
      </c>
      <c r="L6" s="52">
        <v>0.8</v>
      </c>
      <c r="M6" s="50">
        <f>KPI指标及权重设计表!F6</f>
        <v>0.8</v>
      </c>
      <c r="N6" s="7">
        <f>KPI指标及权重设计表!G6</f>
        <v>0.2</v>
      </c>
      <c r="O6" s="16" t="s">
        <v>7</v>
      </c>
      <c r="P6" s="37">
        <f>E6/$M$6*100*0.7*$N$6</f>
        <v>13.3</v>
      </c>
      <c r="Q6" s="37">
        <f t="shared" ref="Q6:W6" si="1">F6/$M$6*100*0.7*$N$6</f>
        <v>15.399999999999999</v>
      </c>
      <c r="R6" s="37">
        <f t="shared" si="1"/>
        <v>10.499999999999998</v>
      </c>
      <c r="S6" s="37">
        <f t="shared" si="1"/>
        <v>15.399999999999999</v>
      </c>
      <c r="T6" s="37">
        <f t="shared" si="1"/>
        <v>13.3</v>
      </c>
      <c r="U6" s="37">
        <f t="shared" si="1"/>
        <v>13.825000000000001</v>
      </c>
      <c r="V6" s="37">
        <f t="shared" si="1"/>
        <v>16.8</v>
      </c>
      <c r="W6" s="37">
        <f t="shared" si="1"/>
        <v>14</v>
      </c>
    </row>
    <row r="7" spans="2:23" x14ac:dyDescent="0.3">
      <c r="B7" s="77"/>
      <c r="C7" s="3" t="s">
        <v>131</v>
      </c>
      <c r="D7" s="5" t="s">
        <v>152</v>
      </c>
      <c r="E7" s="7">
        <v>0.65</v>
      </c>
      <c r="F7" s="7">
        <v>0.64</v>
      </c>
      <c r="G7" s="7">
        <v>0.6</v>
      </c>
      <c r="H7" s="7">
        <v>0.68</v>
      </c>
      <c r="I7" s="7">
        <v>0.75</v>
      </c>
      <c r="J7" s="7">
        <v>0.76</v>
      </c>
      <c r="K7" s="7">
        <v>0.5</v>
      </c>
      <c r="L7" s="52">
        <v>0.55000000000000004</v>
      </c>
      <c r="M7" s="50">
        <f>KPI指标及权重设计表!F7</f>
        <v>0.6</v>
      </c>
      <c r="N7" s="7">
        <f>KPI指标及权重设计表!G7</f>
        <v>0.1</v>
      </c>
      <c r="O7" s="16" t="s">
        <v>9</v>
      </c>
      <c r="P7" s="37">
        <f>E7/$M$7*100*0.7*$N$7</f>
        <v>7.583333333333333</v>
      </c>
      <c r="Q7" s="37">
        <f t="shared" ref="Q7:W7" si="2">F7/$M$7*100*0.7*$N$7</f>
        <v>7.4666666666666677</v>
      </c>
      <c r="R7" s="37">
        <f t="shared" si="2"/>
        <v>7</v>
      </c>
      <c r="S7" s="37">
        <f t="shared" si="2"/>
        <v>7.9333333333333345</v>
      </c>
      <c r="T7" s="37">
        <f t="shared" si="2"/>
        <v>8.75</v>
      </c>
      <c r="U7" s="37">
        <f t="shared" si="2"/>
        <v>8.8666666666666671</v>
      </c>
      <c r="V7" s="37">
        <f t="shared" si="2"/>
        <v>5.8333333333333339</v>
      </c>
      <c r="W7" s="37">
        <f t="shared" si="2"/>
        <v>6.4166666666666679</v>
      </c>
    </row>
    <row r="8" spans="2:23" x14ac:dyDescent="0.3">
      <c r="B8" s="77"/>
      <c r="C8" s="3" t="s">
        <v>132</v>
      </c>
      <c r="D8" s="4" t="s">
        <v>10</v>
      </c>
      <c r="E8" s="7">
        <v>0.8</v>
      </c>
      <c r="F8" s="7">
        <v>0.8</v>
      </c>
      <c r="G8" s="7">
        <v>0.82</v>
      </c>
      <c r="H8" s="7">
        <v>0.98</v>
      </c>
      <c r="I8" s="7">
        <v>0.8</v>
      </c>
      <c r="J8" s="7">
        <v>0.7</v>
      </c>
      <c r="K8" s="7">
        <v>0.8</v>
      </c>
      <c r="L8" s="52">
        <v>0.9</v>
      </c>
      <c r="M8" s="50">
        <f>KPI指标及权重设计表!F8</f>
        <v>0.8</v>
      </c>
      <c r="N8" s="7">
        <f>KPI指标及权重设计表!G8</f>
        <v>0.1</v>
      </c>
      <c r="O8" s="16" t="s">
        <v>12</v>
      </c>
      <c r="P8" s="37">
        <f>E8/$M$8*100*0.7*$N$8</f>
        <v>7</v>
      </c>
      <c r="Q8" s="37">
        <f t="shared" ref="Q8:W8" si="3">F8/$M$8*100*0.7*$N$8</f>
        <v>7</v>
      </c>
      <c r="R8" s="37">
        <f t="shared" si="3"/>
        <v>7.1749999999999989</v>
      </c>
      <c r="S8" s="37">
        <f t="shared" si="3"/>
        <v>8.5749999999999993</v>
      </c>
      <c r="T8" s="37">
        <f t="shared" si="3"/>
        <v>7</v>
      </c>
      <c r="U8" s="37">
        <f t="shared" si="3"/>
        <v>6.1249999999999991</v>
      </c>
      <c r="V8" s="37">
        <f t="shared" si="3"/>
        <v>7</v>
      </c>
      <c r="W8" s="37">
        <f t="shared" si="3"/>
        <v>7.875</v>
      </c>
    </row>
    <row r="9" spans="2:23" x14ac:dyDescent="0.3">
      <c r="B9" s="77"/>
      <c r="C9" s="3" t="s">
        <v>133</v>
      </c>
      <c r="D9" s="4" t="s">
        <v>122</v>
      </c>
      <c r="E9" s="7">
        <v>0.9</v>
      </c>
      <c r="F9" s="7">
        <v>0.82</v>
      </c>
      <c r="G9" s="7">
        <v>0.76</v>
      </c>
      <c r="H9" s="7">
        <v>0.9</v>
      </c>
      <c r="I9" s="7">
        <v>0.81</v>
      </c>
      <c r="J9" s="7">
        <v>0.66</v>
      </c>
      <c r="K9" s="7">
        <v>0.52</v>
      </c>
      <c r="L9" s="52">
        <v>0.9</v>
      </c>
      <c r="M9" s="50">
        <f>KPI指标及权重设计表!F9</f>
        <v>0.9</v>
      </c>
      <c r="N9" s="7">
        <f>KPI指标及权重设计表!G9</f>
        <v>0.05</v>
      </c>
      <c r="O9" s="16" t="s">
        <v>153</v>
      </c>
      <c r="P9" s="37">
        <f>E9/$M$9*100*0.7*$N$9</f>
        <v>3.5</v>
      </c>
      <c r="Q9" s="37">
        <f t="shared" ref="Q9:W9" si="4">F9/$M$9*100*0.7*$N$9</f>
        <v>3.1888888888888882</v>
      </c>
      <c r="R9" s="37">
        <f t="shared" si="4"/>
        <v>2.9555555555555557</v>
      </c>
      <c r="S9" s="37">
        <f t="shared" si="4"/>
        <v>3.5</v>
      </c>
      <c r="T9" s="37">
        <f t="shared" si="4"/>
        <v>3.15</v>
      </c>
      <c r="U9" s="37">
        <f t="shared" si="4"/>
        <v>2.5666666666666669</v>
      </c>
      <c r="V9" s="37">
        <f t="shared" si="4"/>
        <v>2.0222222222222226</v>
      </c>
      <c r="W9" s="37">
        <f t="shared" si="4"/>
        <v>3.5</v>
      </c>
    </row>
    <row r="10" spans="2:23" x14ac:dyDescent="0.3">
      <c r="B10" s="77"/>
      <c r="C10" s="3" t="s">
        <v>134</v>
      </c>
      <c r="D10" s="4" t="s">
        <v>120</v>
      </c>
      <c r="E10" s="7">
        <v>0.99</v>
      </c>
      <c r="F10" s="7">
        <v>1</v>
      </c>
      <c r="G10" s="7">
        <v>0.98</v>
      </c>
      <c r="H10" s="7">
        <v>0.88</v>
      </c>
      <c r="I10" s="7">
        <v>0.86</v>
      </c>
      <c r="J10" s="7">
        <v>0.98</v>
      </c>
      <c r="K10" s="7">
        <v>0.42</v>
      </c>
      <c r="L10" s="52">
        <v>0.98</v>
      </c>
      <c r="M10" s="50">
        <f>KPI指标及权重设计表!F10</f>
        <v>0.98</v>
      </c>
      <c r="N10" s="7">
        <f>KPI指标及权重设计表!G10</f>
        <v>0.05</v>
      </c>
      <c r="O10" s="16" t="s">
        <v>14</v>
      </c>
      <c r="P10" s="37">
        <f>E10/$M$10*100*0.7*$N$10</f>
        <v>3.5357142857142856</v>
      </c>
      <c r="Q10" s="37">
        <f t="shared" ref="Q10:W10" si="5">F10/$M$10*100*0.7*$N$10</f>
        <v>3.5714285714285716</v>
      </c>
      <c r="R10" s="37">
        <f t="shared" si="5"/>
        <v>3.5</v>
      </c>
      <c r="S10" s="37">
        <f t="shared" si="5"/>
        <v>3.1428571428571428</v>
      </c>
      <c r="T10" s="37">
        <f t="shared" si="5"/>
        <v>3.0714285714285712</v>
      </c>
      <c r="U10" s="37">
        <f t="shared" si="5"/>
        <v>3.5</v>
      </c>
      <c r="V10" s="37">
        <f t="shared" si="5"/>
        <v>1.5</v>
      </c>
      <c r="W10" s="37">
        <f t="shared" si="5"/>
        <v>3.5</v>
      </c>
    </row>
    <row r="11" spans="2:23" x14ac:dyDescent="0.3">
      <c r="B11" s="77"/>
      <c r="C11" s="3" t="s">
        <v>135</v>
      </c>
      <c r="D11" s="4" t="s">
        <v>162</v>
      </c>
      <c r="E11" s="7">
        <v>1</v>
      </c>
      <c r="F11" s="7">
        <v>1</v>
      </c>
      <c r="G11" s="7">
        <v>0.98</v>
      </c>
      <c r="H11" s="7">
        <v>0.98</v>
      </c>
      <c r="I11" s="7">
        <v>1</v>
      </c>
      <c r="J11" s="7">
        <v>0.88</v>
      </c>
      <c r="K11" s="7">
        <v>0.98</v>
      </c>
      <c r="L11" s="52">
        <v>0.76</v>
      </c>
      <c r="M11" s="50">
        <f>KPI指标及权重设计表!F11</f>
        <v>0.98</v>
      </c>
      <c r="N11" s="7">
        <f>KPI指标及权重设计表!G11</f>
        <v>0.04</v>
      </c>
      <c r="O11" s="16" t="s">
        <v>16</v>
      </c>
      <c r="P11" s="37">
        <f>E11/$M$11*100*0.7*$N$11</f>
        <v>2.8571428571428572</v>
      </c>
      <c r="Q11" s="37">
        <f t="shared" ref="Q11:W11" si="6">F11/$M$11*100*0.7*$N$11</f>
        <v>2.8571428571428572</v>
      </c>
      <c r="R11" s="37">
        <f t="shared" si="6"/>
        <v>2.8000000000000003</v>
      </c>
      <c r="S11" s="37">
        <f t="shared" si="6"/>
        <v>2.8000000000000003</v>
      </c>
      <c r="T11" s="37">
        <f t="shared" si="6"/>
        <v>2.8571428571428572</v>
      </c>
      <c r="U11" s="37">
        <f t="shared" si="6"/>
        <v>2.5142857142857142</v>
      </c>
      <c r="V11" s="37">
        <f t="shared" si="6"/>
        <v>2.8000000000000003</v>
      </c>
      <c r="W11" s="37">
        <f t="shared" si="6"/>
        <v>2.1714285714285713</v>
      </c>
    </row>
    <row r="12" spans="2:23" x14ac:dyDescent="0.3">
      <c r="B12" s="77"/>
      <c r="C12" s="3" t="s">
        <v>136</v>
      </c>
      <c r="D12" s="4" t="s">
        <v>121</v>
      </c>
      <c r="E12" s="7">
        <v>0.8</v>
      </c>
      <c r="F12" s="7">
        <v>0.9</v>
      </c>
      <c r="G12" s="7">
        <v>0.76</v>
      </c>
      <c r="H12" s="7">
        <v>0.98</v>
      </c>
      <c r="I12" s="7">
        <v>0.81</v>
      </c>
      <c r="J12" s="7">
        <v>0.86</v>
      </c>
      <c r="K12" s="7">
        <v>0.87</v>
      </c>
      <c r="L12" s="52">
        <v>0.75</v>
      </c>
      <c r="M12" s="50">
        <f>KPI指标及权重设计表!F12</f>
        <v>0.8</v>
      </c>
      <c r="N12" s="7">
        <f>KPI指标及权重设计表!G12</f>
        <v>0.03</v>
      </c>
      <c r="O12" s="16" t="s">
        <v>17</v>
      </c>
      <c r="P12" s="37">
        <f>E12/$M$12*100*0.7*$N$12</f>
        <v>2.1</v>
      </c>
      <c r="Q12" s="37">
        <f t="shared" ref="Q12:W12" si="7">F12/$M$12*100*0.7*$N$12</f>
        <v>2.3624999999999998</v>
      </c>
      <c r="R12" s="37">
        <f t="shared" si="7"/>
        <v>1.9949999999999999</v>
      </c>
      <c r="S12" s="37">
        <f t="shared" si="7"/>
        <v>2.5724999999999993</v>
      </c>
      <c r="T12" s="37">
        <f t="shared" si="7"/>
        <v>2.1262499999999998</v>
      </c>
      <c r="U12" s="37">
        <f t="shared" si="7"/>
        <v>2.2574999999999998</v>
      </c>
      <c r="V12" s="37">
        <f t="shared" si="7"/>
        <v>2.2837499999999995</v>
      </c>
      <c r="W12" s="37">
        <f t="shared" si="7"/>
        <v>1.96875</v>
      </c>
    </row>
    <row r="13" spans="2:23" x14ac:dyDescent="0.3">
      <c r="B13" s="77"/>
      <c r="C13" s="3" t="s">
        <v>137</v>
      </c>
      <c r="D13" s="4" t="s">
        <v>214</v>
      </c>
      <c r="E13" s="7">
        <v>0.99</v>
      </c>
      <c r="F13" s="7">
        <v>1</v>
      </c>
      <c r="G13" s="7">
        <v>0.98</v>
      </c>
      <c r="H13" s="7">
        <v>0.88</v>
      </c>
      <c r="I13" s="7">
        <v>0.86</v>
      </c>
      <c r="J13" s="7">
        <v>0.98</v>
      </c>
      <c r="K13" s="7">
        <v>0.42</v>
      </c>
      <c r="L13" s="52">
        <v>0.98</v>
      </c>
      <c r="M13" s="50">
        <f>KPI指标及权重设计表!F13</f>
        <v>0.9</v>
      </c>
      <c r="N13" s="7">
        <f>KPI指标及权重设计表!G13</f>
        <v>0.03</v>
      </c>
      <c r="O13" s="16" t="s">
        <v>22</v>
      </c>
      <c r="P13" s="37">
        <f>E13/$M$13*100*0.7*$N$13</f>
        <v>2.3099999999999996</v>
      </c>
      <c r="Q13" s="37">
        <f t="shared" ref="Q13:W13" si="8">F13/$M$13*100*0.7*$N$13</f>
        <v>2.333333333333333</v>
      </c>
      <c r="R13" s="37">
        <f t="shared" si="8"/>
        <v>2.2866666666666662</v>
      </c>
      <c r="S13" s="37">
        <f t="shared" si="8"/>
        <v>2.0533333333333328</v>
      </c>
      <c r="T13" s="37">
        <f t="shared" si="8"/>
        <v>2.0066666666666659</v>
      </c>
      <c r="U13" s="37">
        <f t="shared" si="8"/>
        <v>2.2866666666666662</v>
      </c>
      <c r="V13" s="37">
        <f t="shared" si="8"/>
        <v>0.97999999999999987</v>
      </c>
      <c r="W13" s="37">
        <f t="shared" si="8"/>
        <v>2.2866666666666662</v>
      </c>
    </row>
    <row r="14" spans="2:23" x14ac:dyDescent="0.3">
      <c r="B14" s="77" t="s">
        <v>116</v>
      </c>
      <c r="C14" s="3" t="s">
        <v>138</v>
      </c>
      <c r="D14" s="4" t="s">
        <v>105</v>
      </c>
      <c r="E14" s="6">
        <v>2</v>
      </c>
      <c r="F14" s="6">
        <v>0</v>
      </c>
      <c r="G14" s="6">
        <v>3</v>
      </c>
      <c r="H14" s="6">
        <v>0</v>
      </c>
      <c r="I14" s="6">
        <v>3</v>
      </c>
      <c r="J14" s="6">
        <v>2</v>
      </c>
      <c r="K14" s="6">
        <v>0</v>
      </c>
      <c r="L14" s="51">
        <v>4</v>
      </c>
      <c r="M14" s="50">
        <f>KPI指标及权重设计表!F14</f>
        <v>2</v>
      </c>
      <c r="N14" s="7">
        <f>KPI指标及权重设计表!G14</f>
        <v>0.2</v>
      </c>
      <c r="O14" s="16" t="s">
        <v>166</v>
      </c>
      <c r="P14" s="37">
        <f>IF((E14-$M$14)&gt;0,0,100*0.2*$N$14)</f>
        <v>4</v>
      </c>
      <c r="Q14" s="37">
        <f t="shared" ref="Q14:W14" si="9">IF((F14-$M$14)&gt;0,0,100*0.2*$N$14)</f>
        <v>4</v>
      </c>
      <c r="R14" s="37">
        <f t="shared" si="9"/>
        <v>0</v>
      </c>
      <c r="S14" s="37">
        <f t="shared" si="9"/>
        <v>4</v>
      </c>
      <c r="T14" s="37">
        <f t="shared" si="9"/>
        <v>0</v>
      </c>
      <c r="U14" s="37">
        <f t="shared" si="9"/>
        <v>4</v>
      </c>
      <c r="V14" s="37">
        <f t="shared" si="9"/>
        <v>4</v>
      </c>
      <c r="W14" s="37">
        <f t="shared" si="9"/>
        <v>0</v>
      </c>
    </row>
    <row r="15" spans="2:23" x14ac:dyDescent="0.3">
      <c r="B15" s="77"/>
      <c r="C15" s="3" t="s">
        <v>139</v>
      </c>
      <c r="D15" s="21" t="s">
        <v>98</v>
      </c>
      <c r="E15" s="6">
        <v>3</v>
      </c>
      <c r="F15" s="6">
        <v>5</v>
      </c>
      <c r="G15" s="6">
        <v>6</v>
      </c>
      <c r="H15" s="6">
        <v>2</v>
      </c>
      <c r="I15" s="6">
        <v>5</v>
      </c>
      <c r="J15" s="6">
        <v>4</v>
      </c>
      <c r="K15" s="6">
        <v>3</v>
      </c>
      <c r="L15" s="51">
        <v>5</v>
      </c>
      <c r="M15" s="50">
        <f>KPI指标及权重设计表!F15</f>
        <v>5</v>
      </c>
      <c r="N15" s="7">
        <f>KPI指标及权重设计表!G15</f>
        <v>0.2</v>
      </c>
      <c r="O15" s="22" t="s">
        <v>159</v>
      </c>
      <c r="P15" s="37">
        <f>IF(E15&lt;=$M$15,100*0.2*$N$15,100*0.2*$N$15*(1-(E15-$M$15)/$M$15))</f>
        <v>4</v>
      </c>
      <c r="Q15" s="37">
        <f t="shared" ref="Q15:W15" si="10">IF(F15&lt;=$M$15,100*0.2*$N$15,100*0.2*$N$15*(1-(F15-$M$15)/$M$15))</f>
        <v>4</v>
      </c>
      <c r="R15" s="37">
        <f t="shared" si="10"/>
        <v>3.2</v>
      </c>
      <c r="S15" s="37">
        <f t="shared" si="10"/>
        <v>4</v>
      </c>
      <c r="T15" s="37">
        <f t="shared" si="10"/>
        <v>4</v>
      </c>
      <c r="U15" s="37">
        <f t="shared" si="10"/>
        <v>4</v>
      </c>
      <c r="V15" s="37">
        <f t="shared" si="10"/>
        <v>4</v>
      </c>
      <c r="W15" s="37">
        <f t="shared" si="10"/>
        <v>4</v>
      </c>
    </row>
    <row r="16" spans="2:23" x14ac:dyDescent="0.3">
      <c r="B16" s="77"/>
      <c r="C16" s="3" t="s">
        <v>140</v>
      </c>
      <c r="D16" s="21" t="s">
        <v>99</v>
      </c>
      <c r="E16" s="7">
        <v>0.99</v>
      </c>
      <c r="F16" s="7">
        <v>1</v>
      </c>
      <c r="G16" s="7">
        <v>0.98</v>
      </c>
      <c r="H16" s="7">
        <v>0.88</v>
      </c>
      <c r="I16" s="7">
        <v>1</v>
      </c>
      <c r="J16" s="7">
        <v>0.88</v>
      </c>
      <c r="K16" s="7">
        <v>0.98</v>
      </c>
      <c r="L16" s="52">
        <v>0.76</v>
      </c>
      <c r="M16" s="50">
        <f>KPI指标及权重设计表!F16</f>
        <v>0.98</v>
      </c>
      <c r="N16" s="7">
        <f>KPI指标及权重设计表!G16</f>
        <v>0.2</v>
      </c>
      <c r="O16" s="22" t="s">
        <v>102</v>
      </c>
      <c r="P16" s="37">
        <f>E16/$M$16*100*0.2*$N$16</f>
        <v>4.0408163265306127</v>
      </c>
      <c r="Q16" s="37">
        <f t="shared" ref="Q16:W16" si="11">F16/$M$16*100*0.2*$N$16</f>
        <v>4.0816326530612255</v>
      </c>
      <c r="R16" s="37">
        <f t="shared" si="11"/>
        <v>4</v>
      </c>
      <c r="S16" s="37">
        <f t="shared" si="11"/>
        <v>3.591836734693878</v>
      </c>
      <c r="T16" s="37">
        <f t="shared" si="11"/>
        <v>4.0816326530612255</v>
      </c>
      <c r="U16" s="37">
        <f t="shared" si="11"/>
        <v>3.591836734693878</v>
      </c>
      <c r="V16" s="37">
        <f t="shared" si="11"/>
        <v>4</v>
      </c>
      <c r="W16" s="37">
        <f t="shared" si="11"/>
        <v>3.1020408163265309</v>
      </c>
    </row>
    <row r="17" spans="2:23" x14ac:dyDescent="0.3">
      <c r="B17" s="77"/>
      <c r="C17" s="3" t="s">
        <v>141</v>
      </c>
      <c r="D17" s="21" t="s">
        <v>128</v>
      </c>
      <c r="E17" s="7">
        <v>0.9</v>
      </c>
      <c r="F17" s="7">
        <v>0.82</v>
      </c>
      <c r="G17" s="7">
        <v>0.76</v>
      </c>
      <c r="H17" s="7">
        <v>0.9</v>
      </c>
      <c r="I17" s="7">
        <v>0.81</v>
      </c>
      <c r="J17" s="7">
        <v>0.66</v>
      </c>
      <c r="K17" s="7">
        <v>0.52</v>
      </c>
      <c r="L17" s="52">
        <v>0.9</v>
      </c>
      <c r="M17" s="50">
        <f>KPI指标及权重设计表!F17</f>
        <v>0.98</v>
      </c>
      <c r="N17" s="7">
        <f>KPI指标及权重设计表!G17</f>
        <v>0.2</v>
      </c>
      <c r="O17" s="22" t="s">
        <v>165</v>
      </c>
      <c r="P17" s="37">
        <f>E17/$M$17*100*0.2*$N$17</f>
        <v>3.6734693877551026</v>
      </c>
      <c r="Q17" s="37">
        <f t="shared" ref="Q17:W17" si="12">F17/$M$17*100*0.2*$N$17</f>
        <v>3.3469387755102042</v>
      </c>
      <c r="R17" s="37">
        <f t="shared" si="12"/>
        <v>3.1020408163265309</v>
      </c>
      <c r="S17" s="37">
        <f t="shared" si="12"/>
        <v>3.6734693877551026</v>
      </c>
      <c r="T17" s="37">
        <f t="shared" si="12"/>
        <v>3.3061224489795928</v>
      </c>
      <c r="U17" s="37">
        <f t="shared" si="12"/>
        <v>2.6938775510204085</v>
      </c>
      <c r="V17" s="37">
        <f t="shared" si="12"/>
        <v>2.1224489795918369</v>
      </c>
      <c r="W17" s="37">
        <f t="shared" si="12"/>
        <v>3.6734693877551026</v>
      </c>
    </row>
    <row r="18" spans="2:23" x14ac:dyDescent="0.3">
      <c r="B18" s="77"/>
      <c r="C18" s="3" t="s">
        <v>142</v>
      </c>
      <c r="D18" s="21" t="s">
        <v>101</v>
      </c>
      <c r="E18" s="7">
        <v>0.8</v>
      </c>
      <c r="F18" s="7">
        <v>0.8</v>
      </c>
      <c r="G18" s="7">
        <v>0.82</v>
      </c>
      <c r="H18" s="7">
        <v>0.98</v>
      </c>
      <c r="I18" s="7">
        <v>1</v>
      </c>
      <c r="J18" s="7">
        <v>0.7</v>
      </c>
      <c r="K18" s="7">
        <v>0.8</v>
      </c>
      <c r="L18" s="52">
        <v>0.9</v>
      </c>
      <c r="M18" s="50">
        <f>KPI指标及权重设计表!F18</f>
        <v>0.98</v>
      </c>
      <c r="N18" s="7">
        <f>KPI指标及权重设计表!G18</f>
        <v>0.2</v>
      </c>
      <c r="O18" s="16" t="s">
        <v>123</v>
      </c>
      <c r="P18" s="37">
        <f>E18/$M$18*100*0.2*$N$18</f>
        <v>3.2653061224489797</v>
      </c>
      <c r="Q18" s="37">
        <f t="shared" ref="Q18:W18" si="13">F18/$M$18*100*0.2*$N$18</f>
        <v>3.2653061224489797</v>
      </c>
      <c r="R18" s="37">
        <f t="shared" si="13"/>
        <v>3.3469387755102042</v>
      </c>
      <c r="S18" s="37">
        <f t="shared" si="13"/>
        <v>4</v>
      </c>
      <c r="T18" s="37">
        <f t="shared" si="13"/>
        <v>4.0816326530612255</v>
      </c>
      <c r="U18" s="37">
        <f t="shared" si="13"/>
        <v>2.8571428571428577</v>
      </c>
      <c r="V18" s="37">
        <f t="shared" si="13"/>
        <v>3.2653061224489797</v>
      </c>
      <c r="W18" s="37">
        <f t="shared" si="13"/>
        <v>3.6734693877551026</v>
      </c>
    </row>
    <row r="19" spans="2:23" x14ac:dyDescent="0.3">
      <c r="B19" s="77" t="s">
        <v>117</v>
      </c>
      <c r="C19" s="3" t="s">
        <v>143</v>
      </c>
      <c r="D19" s="21" t="s">
        <v>176</v>
      </c>
      <c r="E19" s="7">
        <v>0.9</v>
      </c>
      <c r="F19" s="7">
        <v>0.92</v>
      </c>
      <c r="G19" s="7">
        <v>0.88</v>
      </c>
      <c r="H19" s="7">
        <v>0.86</v>
      </c>
      <c r="I19" s="7">
        <v>0.96</v>
      </c>
      <c r="J19" s="7">
        <v>1</v>
      </c>
      <c r="K19" s="7">
        <v>0.9</v>
      </c>
      <c r="L19" s="52">
        <v>0.5</v>
      </c>
      <c r="M19" s="50">
        <f>KPI指标及权重设计表!F19</f>
        <v>0.9</v>
      </c>
      <c r="N19" s="7">
        <f>KPI指标及权重设计表!G19</f>
        <v>0.5</v>
      </c>
      <c r="O19" s="22" t="s">
        <v>165</v>
      </c>
      <c r="P19" s="37">
        <f>E19/$M$19*100*0.1*$N$19</f>
        <v>5</v>
      </c>
      <c r="Q19" s="37">
        <f t="shared" ref="Q19:W19" si="14">F19/$M$19*100*0.1*$N$19</f>
        <v>5.1111111111111107</v>
      </c>
      <c r="R19" s="37">
        <f t="shared" si="14"/>
        <v>4.8888888888888893</v>
      </c>
      <c r="S19" s="37">
        <f t="shared" si="14"/>
        <v>4.7777777777777777</v>
      </c>
      <c r="T19" s="37">
        <f t="shared" si="14"/>
        <v>5.3333333333333339</v>
      </c>
      <c r="U19" s="37">
        <f t="shared" si="14"/>
        <v>5.5555555555555562</v>
      </c>
      <c r="V19" s="37">
        <f t="shared" si="14"/>
        <v>5</v>
      </c>
      <c r="W19" s="37">
        <f t="shared" si="14"/>
        <v>2.7777777777777781</v>
      </c>
    </row>
    <row r="20" spans="2:23" x14ac:dyDescent="0.3">
      <c r="B20" s="77"/>
      <c r="C20" s="3" t="s">
        <v>144</v>
      </c>
      <c r="D20" s="4" t="s">
        <v>18</v>
      </c>
      <c r="E20" s="7">
        <v>0.8</v>
      </c>
      <c r="F20" s="7">
        <v>0.8</v>
      </c>
      <c r="G20" s="7">
        <v>0.82</v>
      </c>
      <c r="H20" s="7">
        <v>0.98</v>
      </c>
      <c r="I20" s="7">
        <v>0.8</v>
      </c>
      <c r="J20" s="7">
        <v>0.7</v>
      </c>
      <c r="K20" s="7">
        <v>0.8</v>
      </c>
      <c r="L20" s="52">
        <v>0.9</v>
      </c>
      <c r="M20" s="50">
        <f>KPI指标及权重设计表!F20</f>
        <v>0.9</v>
      </c>
      <c r="N20" s="7">
        <f>KPI指标及权重设计表!G20</f>
        <v>0.5</v>
      </c>
      <c r="O20" s="16" t="s">
        <v>20</v>
      </c>
      <c r="P20" s="37">
        <f>E20/$M$20*100*0.1*$N$20</f>
        <v>4.4444444444444455</v>
      </c>
      <c r="Q20" s="37">
        <f t="shared" ref="Q20:W20" si="15">F20/$M$20*100*0.1*$N$20</f>
        <v>4.4444444444444455</v>
      </c>
      <c r="R20" s="37">
        <f t="shared" si="15"/>
        <v>4.5555555555555554</v>
      </c>
      <c r="S20" s="37">
        <f t="shared" si="15"/>
        <v>5.4444444444444446</v>
      </c>
      <c r="T20" s="37">
        <f t="shared" si="15"/>
        <v>4.4444444444444455</v>
      </c>
      <c r="U20" s="37">
        <f t="shared" si="15"/>
        <v>3.8888888888888888</v>
      </c>
      <c r="V20" s="37">
        <f t="shared" si="15"/>
        <v>4.4444444444444455</v>
      </c>
      <c r="W20" s="37">
        <f t="shared" si="15"/>
        <v>5</v>
      </c>
    </row>
    <row r="21" spans="2:23" x14ac:dyDescent="0.3">
      <c r="B21" s="77" t="s">
        <v>118</v>
      </c>
      <c r="C21" s="3" t="s">
        <v>145</v>
      </c>
      <c r="D21" s="21" t="s">
        <v>161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53">
        <v>0</v>
      </c>
      <c r="M21" s="50">
        <f>KPI指标及权重设计表!F21</f>
        <v>0</v>
      </c>
      <c r="N21" s="7">
        <f>KPI指标及权重设计表!G21</f>
        <v>0</v>
      </c>
      <c r="O21" s="16" t="s">
        <v>174</v>
      </c>
      <c r="P21" s="37">
        <f>2*E21</f>
        <v>0</v>
      </c>
      <c r="Q21" s="37">
        <f t="shared" ref="Q21:W21" si="16">2*F21</f>
        <v>0</v>
      </c>
      <c r="R21" s="37">
        <f t="shared" si="16"/>
        <v>0</v>
      </c>
      <c r="S21" s="37">
        <f t="shared" si="16"/>
        <v>0</v>
      </c>
      <c r="T21" s="37">
        <f t="shared" si="16"/>
        <v>0</v>
      </c>
      <c r="U21" s="37">
        <f t="shared" si="16"/>
        <v>0</v>
      </c>
      <c r="V21" s="37">
        <f t="shared" si="16"/>
        <v>0</v>
      </c>
      <c r="W21" s="37">
        <f t="shared" si="16"/>
        <v>0</v>
      </c>
    </row>
    <row r="22" spans="2:23" x14ac:dyDescent="0.3">
      <c r="B22" s="77"/>
      <c r="C22" s="3" t="s">
        <v>146</v>
      </c>
      <c r="D22" s="21" t="s">
        <v>106</v>
      </c>
      <c r="E22" s="24">
        <v>0</v>
      </c>
      <c r="F22" s="24">
        <v>0</v>
      </c>
      <c r="G22" s="24">
        <v>0</v>
      </c>
      <c r="H22" s="24">
        <v>1</v>
      </c>
      <c r="I22" s="24">
        <v>0</v>
      </c>
      <c r="J22" s="24">
        <v>0</v>
      </c>
      <c r="K22" s="24">
        <v>0</v>
      </c>
      <c r="L22" s="53">
        <v>0</v>
      </c>
      <c r="M22" s="50">
        <f>KPI指标及权重设计表!F22</f>
        <v>0</v>
      </c>
      <c r="N22" s="7">
        <f>KPI指标及权重设计表!G22</f>
        <v>0</v>
      </c>
      <c r="O22" s="22" t="s">
        <v>173</v>
      </c>
      <c r="P22" s="37">
        <f>5*E22</f>
        <v>0</v>
      </c>
      <c r="Q22" s="37">
        <f t="shared" ref="Q22:W22" si="17">5*F22</f>
        <v>0</v>
      </c>
      <c r="R22" s="37">
        <f t="shared" si="17"/>
        <v>0</v>
      </c>
      <c r="S22" s="37">
        <f t="shared" si="17"/>
        <v>5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</row>
    <row r="23" spans="2:23" x14ac:dyDescent="0.3">
      <c r="B23" s="77"/>
      <c r="C23" s="3" t="s">
        <v>147</v>
      </c>
      <c r="D23" s="21" t="s">
        <v>108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53">
        <v>0</v>
      </c>
      <c r="M23" s="50">
        <f>KPI指标及权重设计表!F23</f>
        <v>0</v>
      </c>
      <c r="N23" s="7">
        <f>KPI指标及权重设计表!G23</f>
        <v>0</v>
      </c>
      <c r="O23" s="22" t="s">
        <v>172</v>
      </c>
      <c r="P23" s="37">
        <f>2*E23</f>
        <v>0</v>
      </c>
      <c r="Q23" s="37">
        <f t="shared" ref="Q23:W23" si="18">2*F23</f>
        <v>0</v>
      </c>
      <c r="R23" s="37">
        <f t="shared" si="18"/>
        <v>0</v>
      </c>
      <c r="S23" s="37">
        <f t="shared" si="18"/>
        <v>0</v>
      </c>
      <c r="T23" s="37">
        <f t="shared" si="18"/>
        <v>0</v>
      </c>
      <c r="U23" s="37">
        <f t="shared" si="18"/>
        <v>0</v>
      </c>
      <c r="V23" s="37">
        <f t="shared" si="18"/>
        <v>0</v>
      </c>
      <c r="W23" s="37">
        <f t="shared" si="18"/>
        <v>0</v>
      </c>
    </row>
    <row r="24" spans="2:23" x14ac:dyDescent="0.3">
      <c r="B24" s="77"/>
      <c r="C24" s="3" t="s">
        <v>148</v>
      </c>
      <c r="D24" s="21" t="s">
        <v>109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53">
        <v>0</v>
      </c>
      <c r="M24" s="50">
        <f>KPI指标及权重设计表!F24</f>
        <v>0</v>
      </c>
      <c r="N24" s="7">
        <f>KPI指标及权重设计表!G24</f>
        <v>0</v>
      </c>
      <c r="O24" s="16" t="s">
        <v>171</v>
      </c>
      <c r="P24" s="37">
        <f>-5*E24</f>
        <v>0</v>
      </c>
      <c r="Q24" s="37">
        <f t="shared" ref="Q24:W24" si="19">-5*F24</f>
        <v>0</v>
      </c>
      <c r="R24" s="37">
        <f t="shared" si="19"/>
        <v>0</v>
      </c>
      <c r="S24" s="37">
        <f t="shared" si="19"/>
        <v>0</v>
      </c>
      <c r="T24" s="37">
        <f t="shared" si="19"/>
        <v>0</v>
      </c>
      <c r="U24" s="37">
        <f t="shared" si="19"/>
        <v>0</v>
      </c>
      <c r="V24" s="37">
        <f t="shared" si="19"/>
        <v>0</v>
      </c>
      <c r="W24" s="37">
        <f t="shared" si="19"/>
        <v>0</v>
      </c>
    </row>
    <row r="25" spans="2:23" x14ac:dyDescent="0.3">
      <c r="B25" s="77"/>
      <c r="C25" s="3" t="s">
        <v>149</v>
      </c>
      <c r="D25" s="21" t="s">
        <v>110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53">
        <v>0</v>
      </c>
      <c r="M25" s="50">
        <f>KPI指标及权重设计表!F25</f>
        <v>0</v>
      </c>
      <c r="N25" s="7">
        <f>KPI指标及权重设计表!G25</f>
        <v>0</v>
      </c>
      <c r="O25" s="22" t="s">
        <v>303</v>
      </c>
      <c r="P25" s="37">
        <f>-2*E25</f>
        <v>0</v>
      </c>
      <c r="Q25" s="37">
        <f t="shared" ref="Q25:W25" si="20">-2*F25</f>
        <v>0</v>
      </c>
      <c r="R25" s="37">
        <f t="shared" si="20"/>
        <v>0</v>
      </c>
      <c r="S25" s="37">
        <f t="shared" si="20"/>
        <v>0</v>
      </c>
      <c r="T25" s="37">
        <f t="shared" si="20"/>
        <v>0</v>
      </c>
      <c r="U25" s="37">
        <f t="shared" si="20"/>
        <v>0</v>
      </c>
      <c r="V25" s="37">
        <f t="shared" si="20"/>
        <v>0</v>
      </c>
      <c r="W25" s="37">
        <f t="shared" si="20"/>
        <v>0</v>
      </c>
    </row>
    <row r="26" spans="2:23" x14ac:dyDescent="0.3">
      <c r="B26" s="77"/>
      <c r="C26" s="3" t="s">
        <v>150</v>
      </c>
      <c r="D26" s="21" t="s">
        <v>112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53">
        <v>0</v>
      </c>
      <c r="M26" s="50">
        <f>KPI指标及权重设计表!F26</f>
        <v>0</v>
      </c>
      <c r="N26" s="7">
        <f>KPI指标及权重设计表!G26</f>
        <v>0</v>
      </c>
      <c r="O26" s="22" t="s">
        <v>113</v>
      </c>
      <c r="P26" s="37">
        <f>-5*E26</f>
        <v>0</v>
      </c>
      <c r="Q26" s="37">
        <f t="shared" ref="Q26:W26" si="21">-5*F26</f>
        <v>0</v>
      </c>
      <c r="R26" s="37">
        <f t="shared" si="21"/>
        <v>0</v>
      </c>
      <c r="S26" s="37">
        <f t="shared" si="21"/>
        <v>0</v>
      </c>
      <c r="T26" s="37">
        <f t="shared" si="21"/>
        <v>0</v>
      </c>
      <c r="U26" s="37">
        <f t="shared" si="21"/>
        <v>0</v>
      </c>
      <c r="V26" s="37">
        <f t="shared" si="21"/>
        <v>0</v>
      </c>
      <c r="W26" s="37">
        <f t="shared" si="21"/>
        <v>0</v>
      </c>
    </row>
    <row r="27" spans="2:23" x14ac:dyDescent="0.3">
      <c r="B27" s="77"/>
      <c r="C27" s="3" t="s">
        <v>151</v>
      </c>
      <c r="D27" s="21" t="s">
        <v>119</v>
      </c>
      <c r="E27" s="24">
        <v>0</v>
      </c>
      <c r="F27" s="24">
        <v>0</v>
      </c>
      <c r="G27" s="24">
        <v>1</v>
      </c>
      <c r="H27" s="24">
        <v>0</v>
      </c>
      <c r="I27" s="24">
        <v>0</v>
      </c>
      <c r="J27" s="24">
        <v>0</v>
      </c>
      <c r="K27" s="24">
        <v>0</v>
      </c>
      <c r="L27" s="53">
        <v>0</v>
      </c>
      <c r="M27" s="50">
        <f>KPI指标及权重设计表!F27</f>
        <v>0</v>
      </c>
      <c r="N27" s="7">
        <f>KPI指标及权重设计表!G27</f>
        <v>0</v>
      </c>
      <c r="O27" s="22" t="s">
        <v>302</v>
      </c>
      <c r="P27" s="37">
        <f>-2*E27</f>
        <v>0</v>
      </c>
      <c r="Q27" s="37">
        <f t="shared" ref="Q27:W27" si="22">-2*F27</f>
        <v>0</v>
      </c>
      <c r="R27" s="37">
        <f t="shared" si="22"/>
        <v>-2</v>
      </c>
      <c r="S27" s="37">
        <f t="shared" si="22"/>
        <v>0</v>
      </c>
      <c r="T27" s="37">
        <f t="shared" si="22"/>
        <v>0</v>
      </c>
      <c r="U27" s="37">
        <f t="shared" si="22"/>
        <v>0</v>
      </c>
      <c r="V27" s="37">
        <f t="shared" si="22"/>
        <v>0</v>
      </c>
      <c r="W27" s="37">
        <f t="shared" si="22"/>
        <v>0</v>
      </c>
    </row>
    <row r="28" spans="2:23" ht="18.75" thickBot="1" x14ac:dyDescent="0.35">
      <c r="B28" s="19" t="s">
        <v>154</v>
      </c>
      <c r="C28" s="8" t="s">
        <v>155</v>
      </c>
      <c r="D28" s="23" t="s">
        <v>157</v>
      </c>
      <c r="E28" s="9">
        <v>65</v>
      </c>
      <c r="F28" s="9">
        <v>88</v>
      </c>
      <c r="G28" s="9">
        <v>50</v>
      </c>
      <c r="H28" s="9">
        <v>99</v>
      </c>
      <c r="I28" s="9">
        <v>81</v>
      </c>
      <c r="J28" s="9">
        <v>86</v>
      </c>
      <c r="K28" s="9">
        <v>87</v>
      </c>
      <c r="L28" s="54">
        <v>80</v>
      </c>
      <c r="M28" s="50">
        <f>KPI指标及权重设计表!F28</f>
        <v>80</v>
      </c>
      <c r="N28" s="7">
        <f>KPI指标及权重设计表!G28</f>
        <v>0</v>
      </c>
      <c r="O28" s="17" t="s">
        <v>158</v>
      </c>
      <c r="P28" s="37">
        <f>IF((E28-$M$28)/(100-$M$28)*10&lt;=-10,-10,(E28-$M$28)/(100-$M$28)*10)</f>
        <v>-7.5</v>
      </c>
      <c r="Q28" s="37">
        <f t="shared" ref="Q28:W28" si="23">IF((F28-$M$28)/(100-$M$28)*10&lt;=-10,-10,(F28-$M$28)/(100-$M$28)*10)</f>
        <v>4</v>
      </c>
      <c r="R28" s="37">
        <f t="shared" si="23"/>
        <v>-10</v>
      </c>
      <c r="S28" s="37">
        <f t="shared" si="23"/>
        <v>9.5</v>
      </c>
      <c r="T28" s="37">
        <f t="shared" si="23"/>
        <v>0.5</v>
      </c>
      <c r="U28" s="37">
        <f t="shared" si="23"/>
        <v>3</v>
      </c>
      <c r="V28" s="37">
        <f t="shared" si="23"/>
        <v>3.5</v>
      </c>
      <c r="W28" s="37">
        <f t="shared" si="23"/>
        <v>0</v>
      </c>
    </row>
    <row r="29" spans="2:23" ht="18.75" thickTop="1" x14ac:dyDescent="0.3">
      <c r="B29" s="26"/>
      <c r="C29" s="12"/>
      <c r="D29" s="27"/>
      <c r="E29" s="28"/>
      <c r="F29" s="28"/>
      <c r="G29" s="28"/>
      <c r="H29" s="28"/>
      <c r="I29" s="28"/>
      <c r="J29" s="28"/>
      <c r="K29" s="28"/>
      <c r="L29" s="28"/>
      <c r="M29" s="6"/>
      <c r="N29" s="7"/>
      <c r="O29" s="13"/>
      <c r="P29" s="37">
        <f>SUM(P5:P28)</f>
        <v>83.270226757369628</v>
      </c>
      <c r="Q29" s="37">
        <f t="shared" ref="Q29:W29" si="24">SUM(Q5:Q28)</f>
        <v>106.10939342403628</v>
      </c>
      <c r="R29" s="37">
        <f t="shared" si="24"/>
        <v>60.505646258503404</v>
      </c>
      <c r="S29" s="37">
        <f t="shared" si="24"/>
        <v>119.08455215419499</v>
      </c>
      <c r="T29" s="37">
        <f t="shared" si="24"/>
        <v>96.008653628117884</v>
      </c>
      <c r="U29" s="37">
        <f t="shared" si="24"/>
        <v>102.32908730158729</v>
      </c>
      <c r="V29" s="37">
        <f t="shared" si="24"/>
        <v>97.327505102040817</v>
      </c>
      <c r="W29" s="37">
        <f t="shared" si="24"/>
        <v>92.942069274376422</v>
      </c>
    </row>
    <row r="30" spans="2:23" ht="22.5" x14ac:dyDescent="0.3">
      <c r="B30" s="80" t="s">
        <v>278</v>
      </c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6"/>
      <c r="N30" s="7"/>
      <c r="O30" s="11" t="s">
        <v>301</v>
      </c>
    </row>
    <row r="31" spans="2:23" ht="17.25" thickBot="1" x14ac:dyDescent="0.35">
      <c r="B31" s="79" t="s">
        <v>175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6"/>
      <c r="N31" s="7"/>
    </row>
    <row r="32" spans="2:23" ht="22.5" customHeight="1" thickTop="1" x14ac:dyDescent="0.3">
      <c r="B32" s="1" t="s">
        <v>0</v>
      </c>
      <c r="C32" s="2" t="s">
        <v>1</v>
      </c>
      <c r="D32" s="2" t="s">
        <v>95</v>
      </c>
      <c r="E32" s="41" t="s">
        <v>257</v>
      </c>
      <c r="F32" s="41" t="s">
        <v>258</v>
      </c>
      <c r="G32" s="41" t="s">
        <v>227</v>
      </c>
      <c r="H32" s="41" t="s">
        <v>228</v>
      </c>
      <c r="I32" s="41" t="s">
        <v>229</v>
      </c>
      <c r="J32" s="41" t="s">
        <v>230</v>
      </c>
      <c r="K32" s="41" t="s">
        <v>231</v>
      </c>
      <c r="L32" s="15" t="s">
        <v>232</v>
      </c>
      <c r="M32" s="50" t="str">
        <f>KPI指标及权重设计表!F32</f>
        <v>考核标准</v>
      </c>
      <c r="N32" s="7" t="str">
        <f>KPI指标及权重设计表!G32</f>
        <v>权重</v>
      </c>
      <c r="O32" s="15" t="s">
        <v>97</v>
      </c>
      <c r="P32" s="40" t="s">
        <v>257</v>
      </c>
      <c r="Q32" s="40" t="s">
        <v>258</v>
      </c>
      <c r="R32" s="40" t="s">
        <v>227</v>
      </c>
      <c r="S32" s="40" t="s">
        <v>228</v>
      </c>
      <c r="T32" s="40" t="s">
        <v>229</v>
      </c>
      <c r="U32" s="40" t="s">
        <v>230</v>
      </c>
      <c r="V32" s="40" t="s">
        <v>231</v>
      </c>
      <c r="W32" s="40" t="s">
        <v>232</v>
      </c>
    </row>
    <row r="33" spans="2:23" x14ac:dyDescent="0.3">
      <c r="B33" s="77" t="s">
        <v>115</v>
      </c>
      <c r="C33" s="3" t="s">
        <v>129</v>
      </c>
      <c r="D33" s="4" t="s">
        <v>275</v>
      </c>
      <c r="E33" s="7">
        <v>0.9</v>
      </c>
      <c r="F33" s="7">
        <v>0.92</v>
      </c>
      <c r="G33" s="7">
        <v>0.88</v>
      </c>
      <c r="H33" s="7">
        <v>0.86</v>
      </c>
      <c r="I33" s="7">
        <v>0.96</v>
      </c>
      <c r="J33" s="7">
        <v>1</v>
      </c>
      <c r="K33" s="7">
        <v>0.9</v>
      </c>
      <c r="L33" s="52">
        <v>0.5</v>
      </c>
      <c r="M33" s="50">
        <f>KPI指标及权重设计表!F33</f>
        <v>0.95</v>
      </c>
      <c r="N33" s="7">
        <f>KPI指标及权重设计表!G33</f>
        <v>0.4</v>
      </c>
      <c r="O33" s="18" t="s">
        <v>200</v>
      </c>
      <c r="P33" s="37">
        <f>E33/$M$33*100*0.7*$N$33</f>
        <v>26.526315789473685</v>
      </c>
      <c r="Q33" s="37">
        <f t="shared" ref="Q33:W33" si="25">F33/$M$33*100*0.7*$N$33</f>
        <v>27.115789473684217</v>
      </c>
      <c r="R33" s="37">
        <f t="shared" si="25"/>
        <v>25.936842105263157</v>
      </c>
      <c r="S33" s="37">
        <f>H33/$M$33*100*0.7*$N$33</f>
        <v>25.347368421052632</v>
      </c>
      <c r="T33" s="37">
        <f t="shared" si="25"/>
        <v>28.294736842105262</v>
      </c>
      <c r="U33" s="37">
        <f t="shared" si="25"/>
        <v>29.473684210526315</v>
      </c>
      <c r="V33" s="37">
        <f t="shared" si="25"/>
        <v>26.526315789473685</v>
      </c>
      <c r="W33" s="37">
        <f t="shared" si="25"/>
        <v>14.736842105263158</v>
      </c>
    </row>
    <row r="34" spans="2:23" x14ac:dyDescent="0.3">
      <c r="B34" s="77"/>
      <c r="C34" s="3" t="s">
        <v>130</v>
      </c>
      <c r="D34" s="4" t="s">
        <v>177</v>
      </c>
      <c r="E34" s="38">
        <v>2950</v>
      </c>
      <c r="F34" s="38">
        <v>1825</v>
      </c>
      <c r="G34" s="38">
        <v>3000</v>
      </c>
      <c r="H34" s="38">
        <v>2570</v>
      </c>
      <c r="I34" s="38">
        <v>3210</v>
      </c>
      <c r="J34" s="38">
        <v>1269</v>
      </c>
      <c r="K34" s="38">
        <v>1256</v>
      </c>
      <c r="L34" s="55">
        <v>3560</v>
      </c>
      <c r="M34" s="50">
        <f>KPI指标及权重设计表!F34</f>
        <v>2800</v>
      </c>
      <c r="N34" s="7">
        <f>KPI指标及权重设计表!G34</f>
        <v>0.2</v>
      </c>
      <c r="O34" s="18" t="s">
        <v>184</v>
      </c>
      <c r="P34" s="37">
        <f>E34/$M$34*100*0.7*$N$34</f>
        <v>14.75</v>
      </c>
      <c r="Q34" s="37">
        <f t="shared" ref="Q34:W34" si="26">F34/$M$34*100*0.7*$N$34</f>
        <v>9.125</v>
      </c>
      <c r="R34" s="37">
        <f t="shared" si="26"/>
        <v>14.999999999999998</v>
      </c>
      <c r="S34" s="37">
        <f t="shared" si="26"/>
        <v>12.849999999999998</v>
      </c>
      <c r="T34" s="37">
        <f t="shared" si="26"/>
        <v>16.049999999999997</v>
      </c>
      <c r="U34" s="37">
        <f t="shared" si="26"/>
        <v>6.3450000000000006</v>
      </c>
      <c r="V34" s="37">
        <f t="shared" si="26"/>
        <v>6.2799999999999994</v>
      </c>
      <c r="W34" s="37">
        <f t="shared" si="26"/>
        <v>17.799999999999997</v>
      </c>
    </row>
    <row r="35" spans="2:23" x14ac:dyDescent="0.3">
      <c r="B35" s="77"/>
      <c r="C35" s="3" t="s">
        <v>131</v>
      </c>
      <c r="D35" s="5" t="s">
        <v>178</v>
      </c>
      <c r="E35" s="39">
        <v>4.5</v>
      </c>
      <c r="F35" s="39">
        <v>3.2</v>
      </c>
      <c r="G35" s="39">
        <v>5</v>
      </c>
      <c r="H35" s="39">
        <v>4.8</v>
      </c>
      <c r="I35" s="39">
        <v>3.2</v>
      </c>
      <c r="J35" s="39">
        <v>4.2</v>
      </c>
      <c r="K35" s="39">
        <v>5.2</v>
      </c>
      <c r="L35" s="56">
        <v>4.8</v>
      </c>
      <c r="M35" s="50">
        <f>KPI指标及权重设计表!F35</f>
        <v>4.5999999999999996</v>
      </c>
      <c r="N35" s="7">
        <f>KPI指标及权重设计表!G35</f>
        <v>0.1</v>
      </c>
      <c r="O35" s="29" t="s">
        <v>199</v>
      </c>
      <c r="P35" s="37">
        <f>E35/$M$35*100*0.7*$N$35</f>
        <v>6.8478260869565224</v>
      </c>
      <c r="Q35" s="37">
        <f t="shared" ref="Q35:W35" si="27">F35/$M$35*100*0.7*$N$35</f>
        <v>4.8695652173913047</v>
      </c>
      <c r="R35" s="37">
        <f t="shared" si="27"/>
        <v>7.608695652173914</v>
      </c>
      <c r="S35" s="37">
        <f t="shared" si="27"/>
        <v>7.304347826086957</v>
      </c>
      <c r="T35" s="37">
        <f t="shared" si="27"/>
        <v>4.8695652173913047</v>
      </c>
      <c r="U35" s="37">
        <f t="shared" si="27"/>
        <v>6.3913043478260878</v>
      </c>
      <c r="V35" s="37">
        <f t="shared" si="27"/>
        <v>7.913043478260871</v>
      </c>
      <c r="W35" s="37">
        <f t="shared" si="27"/>
        <v>7.304347826086957</v>
      </c>
    </row>
    <row r="36" spans="2:23" x14ac:dyDescent="0.3">
      <c r="B36" s="77"/>
      <c r="C36" s="3" t="s">
        <v>132</v>
      </c>
      <c r="D36" s="4" t="s">
        <v>179</v>
      </c>
      <c r="E36" s="7">
        <v>0.8</v>
      </c>
      <c r="F36" s="7">
        <v>0.8</v>
      </c>
      <c r="G36" s="7">
        <v>0.82</v>
      </c>
      <c r="H36" s="7">
        <v>0.98</v>
      </c>
      <c r="I36" s="7">
        <v>1</v>
      </c>
      <c r="J36" s="7">
        <v>0.7</v>
      </c>
      <c r="K36" s="7">
        <v>0.8</v>
      </c>
      <c r="L36" s="52">
        <v>0.9</v>
      </c>
      <c r="M36" s="50">
        <f>KPI指标及权重设计表!F36</f>
        <v>0.8</v>
      </c>
      <c r="N36" s="7">
        <f>KPI指标及权重设计表!G36</f>
        <v>0.1</v>
      </c>
      <c r="O36" s="18" t="s">
        <v>185</v>
      </c>
      <c r="P36" s="37">
        <f>E36/$M$36*100*0.7*$N$36</f>
        <v>7</v>
      </c>
      <c r="Q36" s="37">
        <f t="shared" ref="Q36:W36" si="28">F36/$M$36*100*0.7*$N$36</f>
        <v>7</v>
      </c>
      <c r="R36" s="37">
        <f t="shared" si="28"/>
        <v>7.1749999999999989</v>
      </c>
      <c r="S36" s="37">
        <f t="shared" si="28"/>
        <v>8.5749999999999993</v>
      </c>
      <c r="T36" s="37">
        <f t="shared" si="28"/>
        <v>8.75</v>
      </c>
      <c r="U36" s="37">
        <f t="shared" si="28"/>
        <v>6.1249999999999991</v>
      </c>
      <c r="V36" s="37">
        <f t="shared" si="28"/>
        <v>7</v>
      </c>
      <c r="W36" s="37">
        <f t="shared" si="28"/>
        <v>7.875</v>
      </c>
    </row>
    <row r="37" spans="2:23" x14ac:dyDescent="0.3">
      <c r="B37" s="77"/>
      <c r="C37" s="3" t="s">
        <v>133</v>
      </c>
      <c r="D37" s="4" t="s">
        <v>180</v>
      </c>
      <c r="E37" s="7">
        <v>0.65</v>
      </c>
      <c r="F37" s="7">
        <v>0.82</v>
      </c>
      <c r="G37" s="7">
        <v>0.76</v>
      </c>
      <c r="H37" s="7">
        <v>0.7</v>
      </c>
      <c r="I37" s="7">
        <v>0.81</v>
      </c>
      <c r="J37" s="7">
        <v>0.66</v>
      </c>
      <c r="K37" s="7">
        <v>0.52</v>
      </c>
      <c r="L37" s="52">
        <v>0.88</v>
      </c>
      <c r="M37" s="50">
        <f>KPI指标及权重设计表!F37</f>
        <v>0.5</v>
      </c>
      <c r="N37" s="7">
        <f>KPI指标及权重设计表!G37</f>
        <v>0.05</v>
      </c>
      <c r="O37" s="18" t="s">
        <v>186</v>
      </c>
      <c r="P37" s="37">
        <f>E37/$M$37*100*0.7*$N$37</f>
        <v>4.55</v>
      </c>
      <c r="Q37" s="37">
        <f t="shared" ref="Q37:W37" si="29">F37/$M$37*100*0.7*$N$37</f>
        <v>5.74</v>
      </c>
      <c r="R37" s="37">
        <f t="shared" si="29"/>
        <v>5.32</v>
      </c>
      <c r="S37" s="37">
        <f t="shared" si="29"/>
        <v>4.9000000000000004</v>
      </c>
      <c r="T37" s="37">
        <f t="shared" si="29"/>
        <v>5.67</v>
      </c>
      <c r="U37" s="37">
        <f t="shared" si="29"/>
        <v>4.62</v>
      </c>
      <c r="V37" s="37">
        <f t="shared" si="29"/>
        <v>3.64</v>
      </c>
      <c r="W37" s="37">
        <f t="shared" si="29"/>
        <v>6.16</v>
      </c>
    </row>
    <row r="38" spans="2:23" x14ac:dyDescent="0.3">
      <c r="B38" s="77"/>
      <c r="C38" s="3" t="s">
        <v>134</v>
      </c>
      <c r="D38" s="4" t="s">
        <v>181</v>
      </c>
      <c r="E38" s="7">
        <v>0.99</v>
      </c>
      <c r="F38" s="7">
        <v>1</v>
      </c>
      <c r="G38" s="7">
        <v>0.98</v>
      </c>
      <c r="H38" s="7">
        <v>0.88</v>
      </c>
      <c r="I38" s="7">
        <v>0.86</v>
      </c>
      <c r="J38" s="7">
        <v>0.98</v>
      </c>
      <c r="K38" s="7">
        <v>0.42</v>
      </c>
      <c r="L38" s="52">
        <v>0.98</v>
      </c>
      <c r="M38" s="50">
        <f>KPI指标及权重设计表!F38</f>
        <v>0.88</v>
      </c>
      <c r="N38" s="7">
        <f>KPI指标及权重设计表!G38</f>
        <v>0.05</v>
      </c>
      <c r="O38" s="18" t="s">
        <v>304</v>
      </c>
      <c r="P38" s="37">
        <f>E38/$M$38*100*0.7*$N$38</f>
        <v>3.9375</v>
      </c>
      <c r="Q38" s="37">
        <f t="shared" ref="Q38:W38" si="30">F38/$M$38*100*0.7*$N$38</f>
        <v>3.9772727272727275</v>
      </c>
      <c r="R38" s="37">
        <f t="shared" si="30"/>
        <v>3.8977272727272729</v>
      </c>
      <c r="S38" s="37">
        <f t="shared" si="30"/>
        <v>3.5</v>
      </c>
      <c r="T38" s="37">
        <f t="shared" si="30"/>
        <v>3.4204545454545454</v>
      </c>
      <c r="U38" s="37">
        <f t="shared" si="30"/>
        <v>3.8977272727272729</v>
      </c>
      <c r="V38" s="37">
        <f t="shared" si="30"/>
        <v>1.6704545454545454</v>
      </c>
      <c r="W38" s="37">
        <f t="shared" si="30"/>
        <v>3.8977272727272729</v>
      </c>
    </row>
    <row r="39" spans="2:23" x14ac:dyDescent="0.3">
      <c r="B39" s="77"/>
      <c r="C39" s="3" t="s">
        <v>135</v>
      </c>
      <c r="D39" s="4" t="s">
        <v>182</v>
      </c>
      <c r="E39" s="7">
        <v>1</v>
      </c>
      <c r="F39" s="7">
        <v>1</v>
      </c>
      <c r="G39" s="7">
        <v>0.98</v>
      </c>
      <c r="H39" s="7">
        <v>0.98</v>
      </c>
      <c r="I39" s="7">
        <v>1</v>
      </c>
      <c r="J39" s="7">
        <v>0.88</v>
      </c>
      <c r="K39" s="7">
        <v>0.98</v>
      </c>
      <c r="L39" s="52">
        <v>0.76</v>
      </c>
      <c r="M39" s="50">
        <f>KPI指标及权重设计表!F39</f>
        <v>0.57999999999999996</v>
      </c>
      <c r="N39" s="7">
        <f>KPI指标及权重设计表!G39</f>
        <v>0.04</v>
      </c>
      <c r="O39" s="18" t="s">
        <v>187</v>
      </c>
      <c r="P39" s="37">
        <f>E39/$M$39*100*0.7*$N$39</f>
        <v>4.8275862068965516</v>
      </c>
      <c r="Q39" s="37">
        <f t="shared" ref="Q39:W39" si="31">F39/$M$39*100*0.7*$N$39</f>
        <v>4.8275862068965516</v>
      </c>
      <c r="R39" s="37">
        <f t="shared" si="31"/>
        <v>4.7310344827586208</v>
      </c>
      <c r="S39" s="37">
        <f t="shared" si="31"/>
        <v>4.7310344827586208</v>
      </c>
      <c r="T39" s="37">
        <f t="shared" si="31"/>
        <v>4.8275862068965516</v>
      </c>
      <c r="U39" s="37">
        <f t="shared" si="31"/>
        <v>4.248275862068966</v>
      </c>
      <c r="V39" s="37">
        <f t="shared" si="31"/>
        <v>4.7310344827586208</v>
      </c>
      <c r="W39" s="37">
        <f t="shared" si="31"/>
        <v>3.6689655172413791</v>
      </c>
    </row>
    <row r="40" spans="2:23" x14ac:dyDescent="0.3">
      <c r="B40" s="77"/>
      <c r="C40" s="3" t="s">
        <v>136</v>
      </c>
      <c r="D40" s="4" t="s">
        <v>183</v>
      </c>
      <c r="E40" s="7">
        <v>0.08</v>
      </c>
      <c r="F40" s="7">
        <v>0.09</v>
      </c>
      <c r="G40" s="7">
        <v>0.06</v>
      </c>
      <c r="H40" s="7">
        <v>0.18</v>
      </c>
      <c r="I40" s="7">
        <v>0.12</v>
      </c>
      <c r="J40" s="7">
        <v>0.09</v>
      </c>
      <c r="K40" s="7">
        <v>0.17</v>
      </c>
      <c r="L40" s="52">
        <v>0.22</v>
      </c>
      <c r="M40" s="50">
        <f>KPI指标及权重设计表!F40</f>
        <v>0.1</v>
      </c>
      <c r="N40" s="7">
        <f>KPI指标及权重设计表!G40</f>
        <v>0.03</v>
      </c>
      <c r="O40" s="18" t="s">
        <v>188</v>
      </c>
      <c r="P40" s="37">
        <f>E40/$M$40*100*0.7*$N$40</f>
        <v>1.68</v>
      </c>
      <c r="Q40" s="37">
        <f t="shared" ref="Q40:W40" si="32">F40/$M$40*100*0.7*$N$40</f>
        <v>1.8899999999999995</v>
      </c>
      <c r="R40" s="37">
        <f t="shared" si="32"/>
        <v>1.26</v>
      </c>
      <c r="S40" s="37">
        <f t="shared" si="32"/>
        <v>3.7799999999999989</v>
      </c>
      <c r="T40" s="37">
        <f t="shared" si="32"/>
        <v>2.52</v>
      </c>
      <c r="U40" s="37">
        <f t="shared" si="32"/>
        <v>1.8899999999999995</v>
      </c>
      <c r="V40" s="37">
        <f t="shared" si="32"/>
        <v>3.5699999999999994</v>
      </c>
      <c r="W40" s="37">
        <f t="shared" si="32"/>
        <v>4.6199999999999992</v>
      </c>
    </row>
    <row r="41" spans="2:23" x14ac:dyDescent="0.3">
      <c r="B41" s="77"/>
      <c r="C41" s="3" t="s">
        <v>137</v>
      </c>
      <c r="D41" s="4" t="s">
        <v>197</v>
      </c>
      <c r="E41" s="7">
        <v>0.99</v>
      </c>
      <c r="F41" s="7">
        <v>1</v>
      </c>
      <c r="G41" s="7">
        <v>0.98</v>
      </c>
      <c r="H41" s="7">
        <v>0.88</v>
      </c>
      <c r="I41" s="7">
        <v>0.86</v>
      </c>
      <c r="J41" s="7">
        <v>0.98</v>
      </c>
      <c r="K41" s="7">
        <v>0.42</v>
      </c>
      <c r="L41" s="52">
        <v>0.98</v>
      </c>
      <c r="M41" s="50">
        <f>KPI指标及权重设计表!F41</f>
        <v>0.56000000000000005</v>
      </c>
      <c r="N41" s="7">
        <f>KPI指标及权重设计表!G41</f>
        <v>0.03</v>
      </c>
      <c r="O41" s="18" t="s">
        <v>189</v>
      </c>
      <c r="P41" s="37">
        <f>E41/$M$41*100*0.7*$N$41</f>
        <v>3.712499999999999</v>
      </c>
      <c r="Q41" s="37">
        <f t="shared" ref="Q41:W41" si="33">F41/$M$41*100*0.7*$N$41</f>
        <v>3.7499999999999996</v>
      </c>
      <c r="R41" s="37">
        <f t="shared" si="33"/>
        <v>3.6749999999999989</v>
      </c>
      <c r="S41" s="37">
        <f t="shared" si="33"/>
        <v>3.2999999999999994</v>
      </c>
      <c r="T41" s="37">
        <f t="shared" si="33"/>
        <v>3.2249999999999996</v>
      </c>
      <c r="U41" s="37">
        <f t="shared" si="33"/>
        <v>3.6749999999999989</v>
      </c>
      <c r="V41" s="37">
        <f t="shared" si="33"/>
        <v>1.5749999999999995</v>
      </c>
      <c r="W41" s="37">
        <f t="shared" si="33"/>
        <v>3.6749999999999989</v>
      </c>
    </row>
    <row r="42" spans="2:23" ht="16.5" customHeight="1" x14ac:dyDescent="0.3">
      <c r="B42" s="77" t="s">
        <v>116</v>
      </c>
      <c r="C42" s="3" t="s">
        <v>138</v>
      </c>
      <c r="D42" s="4" t="s">
        <v>105</v>
      </c>
      <c r="E42" s="6">
        <v>2</v>
      </c>
      <c r="F42" s="6">
        <v>0</v>
      </c>
      <c r="G42" s="6">
        <v>3</v>
      </c>
      <c r="H42" s="6">
        <v>0</v>
      </c>
      <c r="I42" s="6">
        <v>3</v>
      </c>
      <c r="J42" s="6">
        <v>2</v>
      </c>
      <c r="K42" s="6">
        <v>0</v>
      </c>
      <c r="L42" s="51">
        <v>4</v>
      </c>
      <c r="M42" s="50">
        <f>KPI指标及权重设计表!F42</f>
        <v>2</v>
      </c>
      <c r="N42" s="7">
        <f>KPI指标及权重设计表!G42</f>
        <v>0.2</v>
      </c>
      <c r="O42" s="16" t="s">
        <v>166</v>
      </c>
      <c r="P42" s="37">
        <f>IF((E42-$M$42)&gt;0,0,100*0.2*$N$42)</f>
        <v>4</v>
      </c>
      <c r="Q42" s="37">
        <f t="shared" ref="Q42:W42" si="34">IF((F42-$M$42)&gt;0,0,100*0.2*$N$42)</f>
        <v>4</v>
      </c>
      <c r="R42" s="37">
        <f t="shared" si="34"/>
        <v>0</v>
      </c>
      <c r="S42" s="37">
        <f t="shared" si="34"/>
        <v>4</v>
      </c>
      <c r="T42" s="37">
        <f t="shared" si="34"/>
        <v>0</v>
      </c>
      <c r="U42" s="37">
        <f t="shared" si="34"/>
        <v>4</v>
      </c>
      <c r="V42" s="37">
        <f t="shared" si="34"/>
        <v>4</v>
      </c>
      <c r="W42" s="37">
        <f t="shared" si="34"/>
        <v>0</v>
      </c>
    </row>
    <row r="43" spans="2:23" ht="16.5" customHeight="1" x14ac:dyDescent="0.3">
      <c r="B43" s="77"/>
      <c r="C43" s="3" t="s">
        <v>139</v>
      </c>
      <c r="D43" s="21" t="s">
        <v>98</v>
      </c>
      <c r="E43" s="6">
        <v>3</v>
      </c>
      <c r="F43" s="6">
        <v>5</v>
      </c>
      <c r="G43" s="6">
        <v>6</v>
      </c>
      <c r="H43" s="6">
        <v>2</v>
      </c>
      <c r="I43" s="6">
        <v>5</v>
      </c>
      <c r="J43" s="6">
        <v>4</v>
      </c>
      <c r="K43" s="6">
        <v>3</v>
      </c>
      <c r="L43" s="51">
        <v>5</v>
      </c>
      <c r="M43" s="50">
        <f>KPI指标及权重设计表!F43</f>
        <v>6</v>
      </c>
      <c r="N43" s="7">
        <f>KPI指标及权重设计表!G43</f>
        <v>0.2</v>
      </c>
      <c r="O43" s="22" t="s">
        <v>305</v>
      </c>
      <c r="P43" s="37">
        <f>IF(E43&lt;=$M$43,100*0.2*$N$43,100*0.2*$N$43*(1-(E43-$M$43)/$M$43))</f>
        <v>4</v>
      </c>
      <c r="Q43" s="37">
        <f t="shared" ref="Q43:W43" si="35">IF(F43&lt;=$M$43,100*0.2*$N$43,100*0.2*$N$43*(1-(F43-$M$43)/$M$43))</f>
        <v>4</v>
      </c>
      <c r="R43" s="37">
        <f t="shared" si="35"/>
        <v>4</v>
      </c>
      <c r="S43" s="37">
        <f>IF(H43&lt;=$M$43,100*0.2*$N$43,100*0.2*$N$43*(1-(H43-$M$43)/$M$43))</f>
        <v>4</v>
      </c>
      <c r="T43" s="37">
        <f t="shared" si="35"/>
        <v>4</v>
      </c>
      <c r="U43" s="37">
        <f t="shared" si="35"/>
        <v>4</v>
      </c>
      <c r="V43" s="37">
        <f t="shared" si="35"/>
        <v>4</v>
      </c>
      <c r="W43" s="37">
        <f t="shared" si="35"/>
        <v>4</v>
      </c>
    </row>
    <row r="44" spans="2:23" ht="16.5" customHeight="1" x14ac:dyDescent="0.3">
      <c r="B44" s="77"/>
      <c r="C44" s="3" t="s">
        <v>140</v>
      </c>
      <c r="D44" s="21" t="s">
        <v>99</v>
      </c>
      <c r="E44" s="7">
        <v>0.89</v>
      </c>
      <c r="F44" s="7">
        <v>0.92</v>
      </c>
      <c r="G44" s="7">
        <v>0.98</v>
      </c>
      <c r="H44" s="7">
        <v>0.88</v>
      </c>
      <c r="I44" s="7">
        <v>0.9</v>
      </c>
      <c r="J44" s="7">
        <v>0.88</v>
      </c>
      <c r="K44" s="7">
        <v>0.98</v>
      </c>
      <c r="L44" s="52">
        <v>0.56000000000000005</v>
      </c>
      <c r="M44" s="50">
        <f>KPI指标及权重设计表!F44</f>
        <v>0.98</v>
      </c>
      <c r="N44" s="7">
        <f>KPI指标及权重设计表!G44</f>
        <v>0.2</v>
      </c>
      <c r="O44" s="22" t="s">
        <v>102</v>
      </c>
      <c r="P44" s="37">
        <f>E44/$M$44*100*0.2*$N$44</f>
        <v>3.6326530612244903</v>
      </c>
      <c r="Q44" s="37">
        <f t="shared" ref="Q44:W44" si="36">F44/$M$44*100*0.2*$N$44</f>
        <v>3.7551020408163271</v>
      </c>
      <c r="R44" s="37">
        <f t="shared" si="36"/>
        <v>4</v>
      </c>
      <c r="S44" s="37">
        <f t="shared" si="36"/>
        <v>3.591836734693878</v>
      </c>
      <c r="T44" s="37">
        <f t="shared" si="36"/>
        <v>3.6734693877551026</v>
      </c>
      <c r="U44" s="37">
        <f t="shared" si="36"/>
        <v>3.591836734693878</v>
      </c>
      <c r="V44" s="37">
        <f t="shared" si="36"/>
        <v>4</v>
      </c>
      <c r="W44" s="37">
        <f t="shared" si="36"/>
        <v>2.285714285714286</v>
      </c>
    </row>
    <row r="45" spans="2:23" ht="16.5" customHeight="1" x14ac:dyDescent="0.3">
      <c r="B45" s="77"/>
      <c r="C45" s="3" t="s">
        <v>141</v>
      </c>
      <c r="D45" s="21" t="s">
        <v>128</v>
      </c>
      <c r="E45" s="7">
        <v>0.76</v>
      </c>
      <c r="F45" s="7">
        <v>0.82</v>
      </c>
      <c r="G45" s="7">
        <v>0.76</v>
      </c>
      <c r="H45" s="7">
        <v>0.9</v>
      </c>
      <c r="I45" s="7">
        <v>0.81</v>
      </c>
      <c r="J45" s="7">
        <v>0.66</v>
      </c>
      <c r="K45" s="7">
        <v>0.52</v>
      </c>
      <c r="L45" s="52">
        <v>0.9</v>
      </c>
      <c r="M45" s="50">
        <f>KPI指标及权重设计表!F45</f>
        <v>0.98</v>
      </c>
      <c r="N45" s="7">
        <f>KPI指标及权重设计表!G45</f>
        <v>0.2</v>
      </c>
      <c r="O45" s="22" t="s">
        <v>165</v>
      </c>
      <c r="P45" s="37">
        <f>E45/$M$45*100*0.2*$N$45</f>
        <v>3.1020408163265309</v>
      </c>
      <c r="Q45" s="37">
        <f t="shared" ref="Q45:W45" si="37">F45/$M$45*100*0.2*$N$45</f>
        <v>3.3469387755102042</v>
      </c>
      <c r="R45" s="37">
        <f t="shared" si="37"/>
        <v>3.1020408163265309</v>
      </c>
      <c r="S45" s="37">
        <f t="shared" si="37"/>
        <v>3.6734693877551026</v>
      </c>
      <c r="T45" s="37">
        <f t="shared" si="37"/>
        <v>3.3061224489795928</v>
      </c>
      <c r="U45" s="37">
        <f t="shared" si="37"/>
        <v>2.6938775510204085</v>
      </c>
      <c r="V45" s="37">
        <f t="shared" si="37"/>
        <v>2.1224489795918369</v>
      </c>
      <c r="W45" s="37">
        <f t="shared" si="37"/>
        <v>3.6734693877551026</v>
      </c>
    </row>
    <row r="46" spans="2:23" ht="16.5" customHeight="1" x14ac:dyDescent="0.3">
      <c r="B46" s="77"/>
      <c r="C46" s="3" t="s">
        <v>142</v>
      </c>
      <c r="D46" s="21" t="s">
        <v>101</v>
      </c>
      <c r="E46" s="7">
        <v>0.88</v>
      </c>
      <c r="F46" s="7">
        <v>0.8</v>
      </c>
      <c r="G46" s="7">
        <v>0.82</v>
      </c>
      <c r="H46" s="7">
        <v>0.98</v>
      </c>
      <c r="I46" s="7">
        <v>1</v>
      </c>
      <c r="J46" s="7">
        <v>0.7</v>
      </c>
      <c r="K46" s="7">
        <v>0.8</v>
      </c>
      <c r="L46" s="52">
        <v>0.9</v>
      </c>
      <c r="M46" s="50">
        <f>KPI指标及权重设计表!F46</f>
        <v>0.98</v>
      </c>
      <c r="N46" s="7">
        <f>KPI指标及权重设计表!G46</f>
        <v>0.2</v>
      </c>
      <c r="O46" s="16" t="s">
        <v>306</v>
      </c>
      <c r="P46" s="37">
        <f>E46/$M$46*100*0.2*$N$46</f>
        <v>3.591836734693878</v>
      </c>
      <c r="Q46" s="37">
        <f t="shared" ref="Q46:W46" si="38">F46/$M$46*100*0.2*$N$46</f>
        <v>3.2653061224489797</v>
      </c>
      <c r="R46" s="37">
        <f t="shared" si="38"/>
        <v>3.3469387755102042</v>
      </c>
      <c r="S46" s="37">
        <f t="shared" si="38"/>
        <v>4</v>
      </c>
      <c r="T46" s="37">
        <f t="shared" si="38"/>
        <v>4.0816326530612255</v>
      </c>
      <c r="U46" s="37">
        <f t="shared" si="38"/>
        <v>2.8571428571428577</v>
      </c>
      <c r="V46" s="37">
        <f t="shared" si="38"/>
        <v>3.2653061224489797</v>
      </c>
      <c r="W46" s="37">
        <f t="shared" si="38"/>
        <v>3.6734693877551026</v>
      </c>
    </row>
    <row r="47" spans="2:23" ht="16.5" customHeight="1" x14ac:dyDescent="0.3">
      <c r="B47" s="77" t="s">
        <v>117</v>
      </c>
      <c r="C47" s="3" t="s">
        <v>143</v>
      </c>
      <c r="D47" s="21" t="s">
        <v>176</v>
      </c>
      <c r="E47" s="7">
        <v>0.9</v>
      </c>
      <c r="F47" s="7">
        <v>0.92</v>
      </c>
      <c r="G47" s="7">
        <v>0.88</v>
      </c>
      <c r="H47" s="7">
        <v>0.86</v>
      </c>
      <c r="I47" s="7">
        <v>0.96</v>
      </c>
      <c r="J47" s="7">
        <v>1</v>
      </c>
      <c r="K47" s="7">
        <v>0.9</v>
      </c>
      <c r="L47" s="52">
        <v>0.5</v>
      </c>
      <c r="M47" s="50">
        <f>KPI指标及权重设计表!F47</f>
        <v>0.9</v>
      </c>
      <c r="N47" s="7">
        <f>KPI指标及权重设计表!G47</f>
        <v>0.5</v>
      </c>
      <c r="O47" s="22" t="s">
        <v>165</v>
      </c>
      <c r="P47" s="37">
        <f>E47/$M$47*100*0.1*$N$47</f>
        <v>5</v>
      </c>
      <c r="Q47" s="37">
        <f t="shared" ref="Q47:W47" si="39">F47/$M$47*100*0.1*$N$47</f>
        <v>5.1111111111111107</v>
      </c>
      <c r="R47" s="37">
        <f t="shared" si="39"/>
        <v>4.8888888888888893</v>
      </c>
      <c r="S47" s="37">
        <f t="shared" si="39"/>
        <v>4.7777777777777777</v>
      </c>
      <c r="T47" s="37">
        <f t="shared" si="39"/>
        <v>5.3333333333333339</v>
      </c>
      <c r="U47" s="37">
        <f t="shared" si="39"/>
        <v>5.5555555555555562</v>
      </c>
      <c r="V47" s="37">
        <f t="shared" si="39"/>
        <v>5</v>
      </c>
      <c r="W47" s="37">
        <f t="shared" si="39"/>
        <v>2.7777777777777781</v>
      </c>
    </row>
    <row r="48" spans="2:23" ht="16.5" customHeight="1" x14ac:dyDescent="0.3">
      <c r="B48" s="77"/>
      <c r="C48" s="3" t="s">
        <v>144</v>
      </c>
      <c r="D48" s="4" t="s">
        <v>18</v>
      </c>
      <c r="E48" s="7">
        <v>0.75</v>
      </c>
      <c r="F48" s="7">
        <v>0.8</v>
      </c>
      <c r="G48" s="7">
        <v>0.82</v>
      </c>
      <c r="H48" s="7">
        <v>0.98</v>
      </c>
      <c r="I48" s="7">
        <v>0.8</v>
      </c>
      <c r="J48" s="7">
        <v>0.7</v>
      </c>
      <c r="K48" s="7">
        <v>0.8</v>
      </c>
      <c r="L48" s="52">
        <v>0.9</v>
      </c>
      <c r="M48" s="50">
        <f>KPI指标及权重设计表!F48</f>
        <v>0.9</v>
      </c>
      <c r="N48" s="7">
        <f>KPI指标及权重设计表!G48</f>
        <v>0.5</v>
      </c>
      <c r="O48" s="16" t="s">
        <v>307</v>
      </c>
      <c r="P48" s="37">
        <f>E48/$M$48*100*0.1*$N$48</f>
        <v>4.166666666666667</v>
      </c>
      <c r="Q48" s="37">
        <f t="shared" ref="Q48:W48" si="40">F48/$M$48*100*0.1*$N$48</f>
        <v>4.4444444444444455</v>
      </c>
      <c r="R48" s="37">
        <f t="shared" si="40"/>
        <v>4.5555555555555554</v>
      </c>
      <c r="S48" s="37">
        <f t="shared" si="40"/>
        <v>5.4444444444444446</v>
      </c>
      <c r="T48" s="37">
        <f t="shared" si="40"/>
        <v>4.4444444444444455</v>
      </c>
      <c r="U48" s="37">
        <f t="shared" si="40"/>
        <v>3.8888888888888888</v>
      </c>
      <c r="V48" s="37">
        <f t="shared" si="40"/>
        <v>4.4444444444444455</v>
      </c>
      <c r="W48" s="37">
        <f t="shared" si="40"/>
        <v>5</v>
      </c>
    </row>
    <row r="49" spans="2:23" ht="16.5" customHeight="1" x14ac:dyDescent="0.3">
      <c r="B49" s="77" t="s">
        <v>118</v>
      </c>
      <c r="C49" s="3" t="s">
        <v>145</v>
      </c>
      <c r="D49" s="21" t="s">
        <v>161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53">
        <v>0</v>
      </c>
      <c r="M49" s="50">
        <f>KPI指标及权重设计表!F49</f>
        <v>0</v>
      </c>
      <c r="N49" s="7">
        <f>KPI指标及权重设计表!G49</f>
        <v>0</v>
      </c>
      <c r="O49" s="16" t="s">
        <v>174</v>
      </c>
      <c r="P49" s="37">
        <f>2*E49</f>
        <v>0</v>
      </c>
      <c r="Q49" s="37">
        <f t="shared" ref="Q49:W49" si="41">2*F49</f>
        <v>0</v>
      </c>
      <c r="R49" s="37">
        <f t="shared" si="41"/>
        <v>0</v>
      </c>
      <c r="S49" s="37">
        <f t="shared" si="41"/>
        <v>0</v>
      </c>
      <c r="T49" s="37">
        <f t="shared" si="41"/>
        <v>0</v>
      </c>
      <c r="U49" s="37">
        <f t="shared" si="41"/>
        <v>0</v>
      </c>
      <c r="V49" s="37">
        <f t="shared" si="41"/>
        <v>0</v>
      </c>
      <c r="W49" s="37">
        <f t="shared" si="41"/>
        <v>0</v>
      </c>
    </row>
    <row r="50" spans="2:23" ht="16.5" customHeight="1" x14ac:dyDescent="0.3">
      <c r="B50" s="77"/>
      <c r="C50" s="3" t="s">
        <v>146</v>
      </c>
      <c r="D50" s="21" t="s">
        <v>106</v>
      </c>
      <c r="E50" s="24">
        <v>0</v>
      </c>
      <c r="F50" s="24">
        <v>0</v>
      </c>
      <c r="G50" s="24">
        <v>1</v>
      </c>
      <c r="H50" s="24">
        <v>0</v>
      </c>
      <c r="I50" s="24">
        <v>0</v>
      </c>
      <c r="J50" s="24">
        <v>0</v>
      </c>
      <c r="K50" s="24">
        <v>0</v>
      </c>
      <c r="L50" s="53">
        <v>0</v>
      </c>
      <c r="M50" s="50">
        <f>KPI指标及权重设计表!F50</f>
        <v>0</v>
      </c>
      <c r="N50" s="7">
        <f>KPI指标及权重设计表!G50</f>
        <v>0</v>
      </c>
      <c r="O50" s="22" t="s">
        <v>173</v>
      </c>
      <c r="P50" s="37">
        <f>5*E50</f>
        <v>0</v>
      </c>
      <c r="Q50" s="37">
        <f t="shared" ref="Q50" si="42">5*F50</f>
        <v>0</v>
      </c>
      <c r="R50" s="37">
        <f t="shared" ref="R50" si="43">5*G50</f>
        <v>5</v>
      </c>
      <c r="S50" s="37">
        <f t="shared" ref="S50" si="44">5*H50</f>
        <v>0</v>
      </c>
      <c r="T50" s="37">
        <f t="shared" ref="T50" si="45">5*I50</f>
        <v>0</v>
      </c>
      <c r="U50" s="37">
        <f t="shared" ref="U50" si="46">5*J50</f>
        <v>0</v>
      </c>
      <c r="V50" s="37">
        <f t="shared" ref="V50" si="47">5*K50</f>
        <v>0</v>
      </c>
      <c r="W50" s="37">
        <f t="shared" ref="W50" si="48">5*L50</f>
        <v>0</v>
      </c>
    </row>
    <row r="51" spans="2:23" ht="16.5" customHeight="1" x14ac:dyDescent="0.3">
      <c r="B51" s="77"/>
      <c r="C51" s="3" t="s">
        <v>147</v>
      </c>
      <c r="D51" s="21" t="s">
        <v>108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53">
        <v>0</v>
      </c>
      <c r="M51" s="50">
        <f>KPI指标及权重设计表!F51</f>
        <v>0</v>
      </c>
      <c r="N51" s="7">
        <f>KPI指标及权重设计表!G51</f>
        <v>0</v>
      </c>
      <c r="O51" s="22" t="s">
        <v>308</v>
      </c>
      <c r="P51" s="37">
        <f>2*E51</f>
        <v>0</v>
      </c>
      <c r="Q51" s="37">
        <f t="shared" ref="Q51" si="49">2*F51</f>
        <v>0</v>
      </c>
      <c r="R51" s="37">
        <f t="shared" ref="R51" si="50">2*G51</f>
        <v>0</v>
      </c>
      <c r="S51" s="37">
        <f t="shared" ref="S51" si="51">2*H51</f>
        <v>0</v>
      </c>
      <c r="T51" s="37">
        <f t="shared" ref="T51" si="52">2*I51</f>
        <v>0</v>
      </c>
      <c r="U51" s="37">
        <f t="shared" ref="U51" si="53">2*J51</f>
        <v>0</v>
      </c>
      <c r="V51" s="37">
        <f t="shared" ref="V51" si="54">2*K51</f>
        <v>0</v>
      </c>
      <c r="W51" s="37">
        <f t="shared" ref="W51" si="55">2*L51</f>
        <v>0</v>
      </c>
    </row>
    <row r="52" spans="2:23" ht="16.5" customHeight="1" x14ac:dyDescent="0.3">
      <c r="B52" s="77"/>
      <c r="C52" s="3" t="s">
        <v>148</v>
      </c>
      <c r="D52" s="21" t="s">
        <v>109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53">
        <v>0</v>
      </c>
      <c r="M52" s="50">
        <f>KPI指标及权重设计表!F52</f>
        <v>0</v>
      </c>
      <c r="N52" s="7">
        <f>KPI指标及权重设计表!G52</f>
        <v>0</v>
      </c>
      <c r="O52" s="16" t="s">
        <v>171</v>
      </c>
      <c r="P52" s="37">
        <f>-5*E52</f>
        <v>0</v>
      </c>
      <c r="Q52" s="37">
        <f t="shared" ref="Q52" si="56">-5*F52</f>
        <v>0</v>
      </c>
      <c r="R52" s="37">
        <f t="shared" ref="R52" si="57">-5*G52</f>
        <v>0</v>
      </c>
      <c r="S52" s="37">
        <f t="shared" ref="S52" si="58">-5*H52</f>
        <v>0</v>
      </c>
      <c r="T52" s="37">
        <f t="shared" ref="T52" si="59">-5*I52</f>
        <v>0</v>
      </c>
      <c r="U52" s="37">
        <f t="shared" ref="U52" si="60">-5*J52</f>
        <v>0</v>
      </c>
      <c r="V52" s="37">
        <f t="shared" ref="V52" si="61">-5*K52</f>
        <v>0</v>
      </c>
      <c r="W52" s="37">
        <f t="shared" ref="W52" si="62">-5*L52</f>
        <v>0</v>
      </c>
    </row>
    <row r="53" spans="2:23" ht="16.5" customHeight="1" x14ac:dyDescent="0.3">
      <c r="B53" s="77"/>
      <c r="C53" s="3" t="s">
        <v>149</v>
      </c>
      <c r="D53" s="21" t="s">
        <v>110</v>
      </c>
      <c r="E53" s="24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53">
        <v>0</v>
      </c>
      <c r="M53" s="50">
        <f>KPI指标及权重设计表!F53</f>
        <v>0</v>
      </c>
      <c r="N53" s="7">
        <f>KPI指标及权重设计表!G53</f>
        <v>0</v>
      </c>
      <c r="O53" s="22" t="s">
        <v>168</v>
      </c>
      <c r="P53" s="37">
        <f>-2*E53</f>
        <v>0</v>
      </c>
      <c r="Q53" s="37">
        <f t="shared" ref="Q53" si="63">-2*F53</f>
        <v>0</v>
      </c>
      <c r="R53" s="37">
        <f t="shared" ref="R53" si="64">-2*G53</f>
        <v>0</v>
      </c>
      <c r="S53" s="37">
        <f t="shared" ref="S53" si="65">-2*H53</f>
        <v>0</v>
      </c>
      <c r="T53" s="37">
        <f t="shared" ref="T53" si="66">-2*I53</f>
        <v>0</v>
      </c>
      <c r="U53" s="37">
        <f t="shared" ref="U53" si="67">-2*J53</f>
        <v>0</v>
      </c>
      <c r="V53" s="37">
        <f t="shared" ref="V53" si="68">-2*K53</f>
        <v>0</v>
      </c>
      <c r="W53" s="37">
        <f t="shared" ref="W53" si="69">-2*L53</f>
        <v>0</v>
      </c>
    </row>
    <row r="54" spans="2:23" ht="16.5" customHeight="1" x14ac:dyDescent="0.3">
      <c r="B54" s="77"/>
      <c r="C54" s="3" t="s">
        <v>150</v>
      </c>
      <c r="D54" s="21" t="s">
        <v>112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53">
        <v>0</v>
      </c>
      <c r="M54" s="50">
        <f>KPI指标及权重设计表!F54</f>
        <v>0</v>
      </c>
      <c r="N54" s="7">
        <f>KPI指标及权重设计表!G54</f>
        <v>0</v>
      </c>
      <c r="O54" s="22" t="s">
        <v>113</v>
      </c>
      <c r="P54" s="37">
        <f>-5*E54</f>
        <v>0</v>
      </c>
      <c r="Q54" s="37">
        <f t="shared" ref="Q54" si="70">-5*F54</f>
        <v>0</v>
      </c>
      <c r="R54" s="37">
        <f t="shared" ref="R54" si="71">-5*G54</f>
        <v>0</v>
      </c>
      <c r="S54" s="37">
        <f t="shared" ref="S54" si="72">-5*H54</f>
        <v>0</v>
      </c>
      <c r="T54" s="37">
        <f t="shared" ref="T54" si="73">-5*I54</f>
        <v>0</v>
      </c>
      <c r="U54" s="37">
        <f t="shared" ref="U54" si="74">-5*J54</f>
        <v>0</v>
      </c>
      <c r="V54" s="37">
        <f t="shared" ref="V54" si="75">-5*K54</f>
        <v>0</v>
      </c>
      <c r="W54" s="37">
        <f t="shared" ref="W54" si="76">-5*L54</f>
        <v>0</v>
      </c>
    </row>
    <row r="55" spans="2:23" ht="16.5" customHeight="1" x14ac:dyDescent="0.3">
      <c r="B55" s="77"/>
      <c r="C55" s="3" t="s">
        <v>151</v>
      </c>
      <c r="D55" s="21" t="s">
        <v>119</v>
      </c>
      <c r="E55" s="24">
        <v>0</v>
      </c>
      <c r="F55" s="24">
        <v>0</v>
      </c>
      <c r="G55" s="24">
        <v>0</v>
      </c>
      <c r="H55" s="24">
        <v>0</v>
      </c>
      <c r="I55" s="24">
        <v>1</v>
      </c>
      <c r="J55" s="24">
        <v>0</v>
      </c>
      <c r="K55" s="24">
        <v>0</v>
      </c>
      <c r="L55" s="53">
        <v>0</v>
      </c>
      <c r="M55" s="50">
        <f>KPI指标及权重设计表!F55</f>
        <v>0</v>
      </c>
      <c r="N55" s="7">
        <f>KPI指标及权重设计表!G55</f>
        <v>0</v>
      </c>
      <c r="O55" s="22" t="s">
        <v>164</v>
      </c>
      <c r="P55" s="37">
        <f>-2*E55</f>
        <v>0</v>
      </c>
      <c r="Q55" s="37">
        <f t="shared" ref="Q55" si="77">-2*F55</f>
        <v>0</v>
      </c>
      <c r="R55" s="37">
        <f t="shared" ref="R55" si="78">-2*G55</f>
        <v>0</v>
      </c>
      <c r="S55" s="37">
        <f t="shared" ref="S55" si="79">-2*H55</f>
        <v>0</v>
      </c>
      <c r="T55" s="37">
        <f t="shared" ref="T55" si="80">-2*I55</f>
        <v>-2</v>
      </c>
      <c r="U55" s="37">
        <f t="shared" ref="U55" si="81">-2*J55</f>
        <v>0</v>
      </c>
      <c r="V55" s="37">
        <f t="shared" ref="V55" si="82">-2*K55</f>
        <v>0</v>
      </c>
      <c r="W55" s="37">
        <f>-2*L55</f>
        <v>0</v>
      </c>
    </row>
    <row r="56" spans="2:23" ht="18.75" thickBot="1" x14ac:dyDescent="0.35">
      <c r="B56" s="19" t="s">
        <v>154</v>
      </c>
      <c r="C56" s="8" t="s">
        <v>155</v>
      </c>
      <c r="D56" s="23" t="s">
        <v>157</v>
      </c>
      <c r="E56" s="9">
        <v>75</v>
      </c>
      <c r="F56" s="9">
        <v>88</v>
      </c>
      <c r="G56" s="9">
        <v>50</v>
      </c>
      <c r="H56" s="9">
        <v>99</v>
      </c>
      <c r="I56" s="9">
        <v>81</v>
      </c>
      <c r="J56" s="9">
        <v>86</v>
      </c>
      <c r="K56" s="9">
        <v>87</v>
      </c>
      <c r="L56" s="54">
        <v>80</v>
      </c>
      <c r="M56" s="50">
        <f>KPI指标及权重设计表!F56</f>
        <v>80</v>
      </c>
      <c r="N56" s="7">
        <f>KPI指标及权重设计表!G56</f>
        <v>0</v>
      </c>
      <c r="O56" s="17" t="s">
        <v>158</v>
      </c>
      <c r="P56" s="37">
        <f>IF((E56-$M$56)/(100-$M$56)*10&lt;=-10,-10,(E56-$M$56)/(100-$M$56)*10)</f>
        <v>-2.5</v>
      </c>
      <c r="Q56" s="37">
        <f t="shared" ref="Q56:W56" si="83">IF((F56-$M$56)/(100-$M$56)*10&lt;=-10,-10,(F56-$M$56)/(100-$M$56)*10)</f>
        <v>4</v>
      </c>
      <c r="R56" s="37">
        <f t="shared" si="83"/>
        <v>-10</v>
      </c>
      <c r="S56" s="37">
        <f t="shared" si="83"/>
        <v>9.5</v>
      </c>
      <c r="T56" s="37">
        <f t="shared" si="83"/>
        <v>0.5</v>
      </c>
      <c r="U56" s="37">
        <f t="shared" si="83"/>
        <v>3</v>
      </c>
      <c r="V56" s="37">
        <f t="shared" si="83"/>
        <v>3.5</v>
      </c>
      <c r="W56" s="37">
        <f t="shared" si="83"/>
        <v>0</v>
      </c>
    </row>
    <row r="57" spans="2:23" ht="18.75" thickTop="1" x14ac:dyDescent="0.3">
      <c r="B57" s="26"/>
      <c r="C57" s="12"/>
      <c r="D57" s="27"/>
      <c r="E57" s="28"/>
      <c r="F57" s="28"/>
      <c r="G57" s="28"/>
      <c r="H57" s="28"/>
      <c r="I57" s="28"/>
      <c r="J57" s="28"/>
      <c r="K57" s="28"/>
      <c r="L57" s="28"/>
      <c r="M57" s="6"/>
      <c r="N57" s="7"/>
      <c r="O57" s="13"/>
      <c r="P57" s="37">
        <f>SUM(P33:P56)</f>
        <v>98.824925362238346</v>
      </c>
      <c r="Q57" s="37">
        <f t="shared" ref="Q57:W57" si="84">SUM(Q33:Q56)</f>
        <v>100.21811611957587</v>
      </c>
      <c r="R57" s="37">
        <f t="shared" si="84"/>
        <v>93.497723549204139</v>
      </c>
      <c r="S57" s="37">
        <f t="shared" si="84"/>
        <v>113.2752790745694</v>
      </c>
      <c r="T57" s="37">
        <f t="shared" si="84"/>
        <v>100.96634507942134</v>
      </c>
      <c r="U57" s="37">
        <f t="shared" si="84"/>
        <v>96.253293280450237</v>
      </c>
      <c r="V57" s="37">
        <f t="shared" si="84"/>
        <v>93.238047842432991</v>
      </c>
      <c r="W57" s="37">
        <f t="shared" si="84"/>
        <v>91.148313560321043</v>
      </c>
    </row>
    <row r="58" spans="2:23" ht="24.75" x14ac:dyDescent="0.3">
      <c r="B58" s="78" t="s">
        <v>279</v>
      </c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50"/>
      <c r="N58" s="7"/>
    </row>
    <row r="59" spans="2:23" ht="17.25" thickBot="1" x14ac:dyDescent="0.35">
      <c r="B59" s="79" t="s">
        <v>175</v>
      </c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6"/>
      <c r="N59" s="7"/>
    </row>
    <row r="60" spans="2:23" ht="17.25" thickTop="1" x14ac:dyDescent="0.3">
      <c r="B60" s="1" t="s">
        <v>0</v>
      </c>
      <c r="C60" s="2" t="s">
        <v>1</v>
      </c>
      <c r="D60" s="2" t="s">
        <v>95</v>
      </c>
      <c r="E60" s="41" t="s">
        <v>259</v>
      </c>
      <c r="F60" s="41" t="s">
        <v>260</v>
      </c>
      <c r="G60" s="41" t="s">
        <v>235</v>
      </c>
      <c r="H60" s="41" t="s">
        <v>236</v>
      </c>
      <c r="I60" s="41" t="s">
        <v>237</v>
      </c>
      <c r="J60" s="41" t="s">
        <v>238</v>
      </c>
      <c r="K60" s="41" t="s">
        <v>239</v>
      </c>
      <c r="L60" s="15" t="s">
        <v>240</v>
      </c>
      <c r="M60" s="50" t="str">
        <f>KPI指标及权重设计表!F60</f>
        <v>考核标准</v>
      </c>
      <c r="N60" s="7" t="str">
        <f>KPI指标及权重设计表!G60</f>
        <v>权重</v>
      </c>
      <c r="O60" s="15" t="s">
        <v>97</v>
      </c>
      <c r="P60" s="40" t="s">
        <v>259</v>
      </c>
      <c r="Q60" s="40" t="s">
        <v>260</v>
      </c>
      <c r="R60" s="40" t="s">
        <v>235</v>
      </c>
      <c r="S60" s="40" t="s">
        <v>236</v>
      </c>
      <c r="T60" s="40" t="s">
        <v>237</v>
      </c>
      <c r="U60" s="40" t="s">
        <v>238</v>
      </c>
      <c r="V60" s="40" t="s">
        <v>239</v>
      </c>
      <c r="W60" s="40" t="s">
        <v>240</v>
      </c>
    </row>
    <row r="61" spans="2:23" x14ac:dyDescent="0.3">
      <c r="B61" s="77" t="s">
        <v>115</v>
      </c>
      <c r="C61" s="3" t="s">
        <v>129</v>
      </c>
      <c r="D61" s="4" t="s">
        <v>23</v>
      </c>
      <c r="E61" s="7">
        <v>0.99</v>
      </c>
      <c r="F61" s="7">
        <v>1</v>
      </c>
      <c r="G61" s="7">
        <v>0.98</v>
      </c>
      <c r="H61" s="7">
        <v>0.88</v>
      </c>
      <c r="I61" s="7">
        <v>0.86</v>
      </c>
      <c r="J61" s="7">
        <v>0.98</v>
      </c>
      <c r="K61" s="7">
        <v>0.42</v>
      </c>
      <c r="L61" s="52">
        <v>0.98</v>
      </c>
      <c r="M61" s="50">
        <f>KPI指标及权重设计表!F61</f>
        <v>0.8</v>
      </c>
      <c r="N61" s="7">
        <f>KPI指标及权重设计表!G61</f>
        <v>0.1</v>
      </c>
      <c r="O61" s="29" t="s">
        <v>274</v>
      </c>
      <c r="P61" s="37">
        <f>E61/$M$61*100*0.7*$N$61</f>
        <v>8.6624999999999996</v>
      </c>
      <c r="Q61" s="37">
        <f t="shared" ref="Q61:W61" si="85">F61/$M$61*100*0.7*$N$61</f>
        <v>8.75</v>
      </c>
      <c r="R61" s="37">
        <f t="shared" si="85"/>
        <v>8.5749999999999993</v>
      </c>
      <c r="S61" s="37">
        <f t="shared" si="85"/>
        <v>7.6999999999999993</v>
      </c>
      <c r="T61" s="37">
        <f t="shared" si="85"/>
        <v>7.5250000000000004</v>
      </c>
      <c r="U61" s="37">
        <f t="shared" si="85"/>
        <v>8.5749999999999993</v>
      </c>
      <c r="V61" s="37">
        <f t="shared" si="85"/>
        <v>3.6749999999999994</v>
      </c>
      <c r="W61" s="37">
        <f t="shared" si="85"/>
        <v>8.5749999999999993</v>
      </c>
    </row>
    <row r="62" spans="2:23" ht="16.5" customHeight="1" x14ac:dyDescent="0.3">
      <c r="B62" s="77"/>
      <c r="C62" s="3" t="s">
        <v>130</v>
      </c>
      <c r="D62" s="4" t="s">
        <v>26</v>
      </c>
      <c r="E62" s="7">
        <v>0.99</v>
      </c>
      <c r="F62" s="7">
        <v>1</v>
      </c>
      <c r="G62" s="7">
        <v>0.98</v>
      </c>
      <c r="H62" s="7">
        <v>0.88</v>
      </c>
      <c r="I62" s="7">
        <v>0.86</v>
      </c>
      <c r="J62" s="7">
        <v>0.98</v>
      </c>
      <c r="K62" s="7">
        <v>0.42</v>
      </c>
      <c r="L62" s="52">
        <v>0.98</v>
      </c>
      <c r="M62" s="50">
        <f>KPI指标及权重设计表!F62</f>
        <v>1</v>
      </c>
      <c r="N62" s="7">
        <f>KPI指标及权重设计表!G62</f>
        <v>0.4</v>
      </c>
      <c r="O62" s="29" t="s">
        <v>28</v>
      </c>
      <c r="P62" s="37">
        <f>E62/$M$62*100*0.7*$N$62</f>
        <v>27.72</v>
      </c>
      <c r="Q62" s="37">
        <f t="shared" ref="Q62:W62" si="86">F62/$M$62*100*0.7*$N$62</f>
        <v>28</v>
      </c>
      <c r="R62" s="37">
        <f t="shared" si="86"/>
        <v>27.439999999999998</v>
      </c>
      <c r="S62" s="37">
        <f t="shared" si="86"/>
        <v>24.64</v>
      </c>
      <c r="T62" s="37">
        <f t="shared" si="86"/>
        <v>24.08</v>
      </c>
      <c r="U62" s="37">
        <f t="shared" si="86"/>
        <v>27.439999999999998</v>
      </c>
      <c r="V62" s="37">
        <f t="shared" si="86"/>
        <v>11.76</v>
      </c>
      <c r="W62" s="37">
        <f t="shared" si="86"/>
        <v>27.439999999999998</v>
      </c>
    </row>
    <row r="63" spans="2:23" ht="16.5" customHeight="1" x14ac:dyDescent="0.3">
      <c r="B63" s="77"/>
      <c r="C63" s="3" t="s">
        <v>131</v>
      </c>
      <c r="D63" s="4" t="s">
        <v>29</v>
      </c>
      <c r="E63" s="7">
        <v>0.65</v>
      </c>
      <c r="F63" s="7">
        <v>0.82</v>
      </c>
      <c r="G63" s="7">
        <v>0.76</v>
      </c>
      <c r="H63" s="7">
        <v>0.7</v>
      </c>
      <c r="I63" s="7">
        <v>0.81</v>
      </c>
      <c r="J63" s="7">
        <v>0.66</v>
      </c>
      <c r="K63" s="7">
        <v>0.52</v>
      </c>
      <c r="L63" s="52">
        <v>0.88</v>
      </c>
      <c r="M63" s="50">
        <f>KPI指标及权重设计表!F63</f>
        <v>0.9</v>
      </c>
      <c r="N63" s="7">
        <f>KPI指标及权重设计表!G63</f>
        <v>0.2</v>
      </c>
      <c r="O63" s="29" t="s">
        <v>31</v>
      </c>
      <c r="P63" s="37">
        <f>E63/$M$63*100*0.7*$N$63</f>
        <v>10.111111111111111</v>
      </c>
      <c r="Q63" s="37">
        <f t="shared" ref="Q63:W63" si="87">F63/$M$63*100*0.7*$N$63</f>
        <v>12.755555555555553</v>
      </c>
      <c r="R63" s="37">
        <f t="shared" si="87"/>
        <v>11.822222222222223</v>
      </c>
      <c r="S63" s="37">
        <f t="shared" si="87"/>
        <v>10.888888888888888</v>
      </c>
      <c r="T63" s="37">
        <f t="shared" si="87"/>
        <v>12.6</v>
      </c>
      <c r="U63" s="37">
        <f t="shared" si="87"/>
        <v>10.266666666666667</v>
      </c>
      <c r="V63" s="37">
        <f t="shared" si="87"/>
        <v>8.0888888888888903</v>
      </c>
      <c r="W63" s="37">
        <f t="shared" si="87"/>
        <v>13.688888888888886</v>
      </c>
    </row>
    <row r="64" spans="2:23" ht="16.5" customHeight="1" x14ac:dyDescent="0.3">
      <c r="B64" s="77"/>
      <c r="C64" s="3" t="s">
        <v>132</v>
      </c>
      <c r="D64" s="4" t="s">
        <v>32</v>
      </c>
      <c r="E64" s="7">
        <v>0.8</v>
      </c>
      <c r="F64" s="7">
        <v>0.8</v>
      </c>
      <c r="G64" s="7">
        <v>0.82</v>
      </c>
      <c r="H64" s="7">
        <v>0.98</v>
      </c>
      <c r="I64" s="7">
        <v>1</v>
      </c>
      <c r="J64" s="7">
        <v>0.7</v>
      </c>
      <c r="K64" s="7">
        <v>0.8</v>
      </c>
      <c r="L64" s="52">
        <v>0.9</v>
      </c>
      <c r="M64" s="50">
        <f>KPI指标及权重设计表!F64</f>
        <v>0.9</v>
      </c>
      <c r="N64" s="7">
        <f>KPI指标及权重设计表!G64</f>
        <v>0.1</v>
      </c>
      <c r="O64" s="29" t="s">
        <v>34</v>
      </c>
      <c r="P64" s="37">
        <f>E64/$M$64*100*0.7*$N$64</f>
        <v>6.2222222222222232</v>
      </c>
      <c r="Q64" s="37">
        <f t="shared" ref="Q64:W64" si="88">F64/$M$64*100*0.7*$N$64</f>
        <v>6.2222222222222232</v>
      </c>
      <c r="R64" s="37">
        <f t="shared" si="88"/>
        <v>6.3777777777777764</v>
      </c>
      <c r="S64" s="37">
        <f t="shared" si="88"/>
        <v>7.6222222222222218</v>
      </c>
      <c r="T64" s="37">
        <f t="shared" si="88"/>
        <v>7.7777777777777777</v>
      </c>
      <c r="U64" s="37">
        <f t="shared" si="88"/>
        <v>5.4444444444444438</v>
      </c>
      <c r="V64" s="37">
        <f t="shared" si="88"/>
        <v>6.2222222222222232</v>
      </c>
      <c r="W64" s="37">
        <f t="shared" si="88"/>
        <v>7</v>
      </c>
    </row>
    <row r="65" spans="2:23" ht="16.5" customHeight="1" x14ac:dyDescent="0.3">
      <c r="B65" s="77"/>
      <c r="C65" s="3" t="s">
        <v>133</v>
      </c>
      <c r="D65" s="4" t="s">
        <v>35</v>
      </c>
      <c r="E65" s="7">
        <v>0.65</v>
      </c>
      <c r="F65" s="7">
        <v>0.82</v>
      </c>
      <c r="G65" s="7">
        <v>0.76</v>
      </c>
      <c r="H65" s="7">
        <v>0.7</v>
      </c>
      <c r="I65" s="7">
        <v>0.81</v>
      </c>
      <c r="J65" s="7">
        <v>0.66</v>
      </c>
      <c r="K65" s="7">
        <v>0.52</v>
      </c>
      <c r="L65" s="52">
        <v>0.88</v>
      </c>
      <c r="M65" s="50">
        <f>KPI指标及权重设计表!F65</f>
        <v>0.7</v>
      </c>
      <c r="N65" s="7">
        <f>KPI指标及权重设计表!G65</f>
        <v>0.05</v>
      </c>
      <c r="O65" s="29" t="s">
        <v>37</v>
      </c>
      <c r="P65" s="37">
        <f>E65/$M$65*100*0.7*$N$65</f>
        <v>3.2500000000000009</v>
      </c>
      <c r="Q65" s="37">
        <f t="shared" ref="Q65:W65" si="89">F65/$M$65*100*0.7*$N$65</f>
        <v>4.1000000000000005</v>
      </c>
      <c r="R65" s="37">
        <f t="shared" si="89"/>
        <v>3.8000000000000003</v>
      </c>
      <c r="S65" s="37">
        <f t="shared" si="89"/>
        <v>3.5</v>
      </c>
      <c r="T65" s="37">
        <f t="shared" si="89"/>
        <v>4.05</v>
      </c>
      <c r="U65" s="37">
        <f t="shared" si="89"/>
        <v>3.3000000000000003</v>
      </c>
      <c r="V65" s="37">
        <f t="shared" si="89"/>
        <v>2.6</v>
      </c>
      <c r="W65" s="37">
        <f t="shared" si="89"/>
        <v>4.4000000000000012</v>
      </c>
    </row>
    <row r="66" spans="2:23" ht="17.25" customHeight="1" x14ac:dyDescent="0.3">
      <c r="B66" s="77"/>
      <c r="C66" s="3" t="s">
        <v>134</v>
      </c>
      <c r="D66" s="4" t="s">
        <v>38</v>
      </c>
      <c r="E66" s="7">
        <v>0.99</v>
      </c>
      <c r="F66" s="7">
        <v>1</v>
      </c>
      <c r="G66" s="7">
        <v>0.98</v>
      </c>
      <c r="H66" s="7">
        <v>0.88</v>
      </c>
      <c r="I66" s="7">
        <v>0.86</v>
      </c>
      <c r="J66" s="7">
        <v>0.98</v>
      </c>
      <c r="K66" s="7">
        <v>0.42</v>
      </c>
      <c r="L66" s="52">
        <v>0.98</v>
      </c>
      <c r="M66" s="50">
        <f>KPI指标及权重设计表!F66</f>
        <v>0.7</v>
      </c>
      <c r="N66" s="7">
        <f>KPI指标及权重设计表!G66</f>
        <v>0.05</v>
      </c>
      <c r="O66" s="29" t="s">
        <v>39</v>
      </c>
      <c r="P66" s="37">
        <f>E66/$M$66*100*0.7*$N$66</f>
        <v>4.95</v>
      </c>
      <c r="Q66" s="37">
        <f t="shared" ref="Q66:W66" si="90">F66/$M$66*100*0.7*$N$66</f>
        <v>5</v>
      </c>
      <c r="R66" s="37">
        <f t="shared" si="90"/>
        <v>4.9000000000000004</v>
      </c>
      <c r="S66" s="37">
        <f t="shared" si="90"/>
        <v>4.4000000000000012</v>
      </c>
      <c r="T66" s="37">
        <f t="shared" si="90"/>
        <v>4.3</v>
      </c>
      <c r="U66" s="37">
        <f t="shared" si="90"/>
        <v>4.9000000000000004</v>
      </c>
      <c r="V66" s="37">
        <f t="shared" si="90"/>
        <v>2.1</v>
      </c>
      <c r="W66" s="37">
        <f t="shared" si="90"/>
        <v>4.9000000000000004</v>
      </c>
    </row>
    <row r="67" spans="2:23" ht="16.5" customHeight="1" x14ac:dyDescent="0.3">
      <c r="B67" s="77"/>
      <c r="C67" s="3" t="s">
        <v>135</v>
      </c>
      <c r="D67" s="4" t="s">
        <v>40</v>
      </c>
      <c r="E67" s="7">
        <v>1</v>
      </c>
      <c r="F67" s="7">
        <v>1</v>
      </c>
      <c r="G67" s="7">
        <v>0.98</v>
      </c>
      <c r="H67" s="7">
        <v>0.98</v>
      </c>
      <c r="I67" s="7">
        <v>1</v>
      </c>
      <c r="J67" s="7">
        <v>0.88</v>
      </c>
      <c r="K67" s="7">
        <v>0.98</v>
      </c>
      <c r="L67" s="52">
        <v>0.76</v>
      </c>
      <c r="M67" s="50">
        <f>KPI指标及权重设计表!F67</f>
        <v>1</v>
      </c>
      <c r="N67" s="7">
        <f>KPI指标及权重设计表!G67</f>
        <v>0.04</v>
      </c>
      <c r="O67" s="29" t="s">
        <v>41</v>
      </c>
      <c r="P67" s="37">
        <f>E67/$M$67*100*0.7*$N$67</f>
        <v>2.8000000000000003</v>
      </c>
      <c r="Q67" s="37">
        <f t="shared" ref="Q67:W67" si="91">F67/$M$67*100*0.7*$N$67</f>
        <v>2.8000000000000003</v>
      </c>
      <c r="R67" s="37">
        <f t="shared" si="91"/>
        <v>2.7439999999999998</v>
      </c>
      <c r="S67" s="37">
        <f t="shared" si="91"/>
        <v>2.7439999999999998</v>
      </c>
      <c r="T67" s="37">
        <f t="shared" si="91"/>
        <v>2.8000000000000003</v>
      </c>
      <c r="U67" s="37">
        <f t="shared" si="91"/>
        <v>2.464</v>
      </c>
      <c r="V67" s="37">
        <f t="shared" si="91"/>
        <v>2.7439999999999998</v>
      </c>
      <c r="W67" s="37">
        <f t="shared" si="91"/>
        <v>2.1279999999999997</v>
      </c>
    </row>
    <row r="68" spans="2:23" ht="16.5" customHeight="1" x14ac:dyDescent="0.3">
      <c r="B68" s="77"/>
      <c r="C68" s="3" t="s">
        <v>136</v>
      </c>
      <c r="D68" s="4" t="s">
        <v>42</v>
      </c>
      <c r="E68" s="7">
        <v>0.08</v>
      </c>
      <c r="F68" s="7">
        <v>0.09</v>
      </c>
      <c r="G68" s="7">
        <v>0.06</v>
      </c>
      <c r="H68" s="7">
        <v>0.18</v>
      </c>
      <c r="I68" s="7">
        <v>0.12</v>
      </c>
      <c r="J68" s="7">
        <v>0.09</v>
      </c>
      <c r="K68" s="7">
        <v>0.17</v>
      </c>
      <c r="L68" s="52">
        <v>0.22</v>
      </c>
      <c r="M68" s="50">
        <f>KPI指标及权重设计表!F68</f>
        <v>0.95</v>
      </c>
      <c r="N68" s="7">
        <f>KPI指标及权重设计表!G68</f>
        <v>0.03</v>
      </c>
      <c r="O68" s="29" t="s">
        <v>43</v>
      </c>
      <c r="P68" s="37">
        <f>E68/$M$68*100*0.7*$N$68</f>
        <v>0.17684210526315791</v>
      </c>
      <c r="Q68" s="37">
        <f t="shared" ref="Q68:W68" si="92">F68/$M$68*100*0.7*$N$68</f>
        <v>0.19894736842105262</v>
      </c>
      <c r="R68" s="37">
        <f t="shared" si="92"/>
        <v>0.13263157894736841</v>
      </c>
      <c r="S68" s="37">
        <f t="shared" si="92"/>
        <v>0.39789473684210525</v>
      </c>
      <c r="T68" s="37">
        <f t="shared" si="92"/>
        <v>0.26526315789473681</v>
      </c>
      <c r="U68" s="37">
        <f t="shared" si="92"/>
        <v>0.19894736842105262</v>
      </c>
      <c r="V68" s="37">
        <f t="shared" si="92"/>
        <v>0.37578947368421056</v>
      </c>
      <c r="W68" s="37">
        <f t="shared" si="92"/>
        <v>0.48631578947368415</v>
      </c>
    </row>
    <row r="69" spans="2:23" ht="17.25" customHeight="1" x14ac:dyDescent="0.3">
      <c r="B69" s="77"/>
      <c r="C69" s="3" t="s">
        <v>137</v>
      </c>
      <c r="D69" s="4" t="s">
        <v>44</v>
      </c>
      <c r="E69" s="7">
        <v>0.99</v>
      </c>
      <c r="F69" s="7">
        <v>1</v>
      </c>
      <c r="G69" s="7">
        <v>0.98</v>
      </c>
      <c r="H69" s="7">
        <v>0.88</v>
      </c>
      <c r="I69" s="7">
        <v>0.86</v>
      </c>
      <c r="J69" s="7">
        <v>0.98</v>
      </c>
      <c r="K69" s="7">
        <v>0.42</v>
      </c>
      <c r="L69" s="52">
        <v>0.98</v>
      </c>
      <c r="M69" s="50">
        <f>KPI指标及权重设计表!F69</f>
        <v>0.9</v>
      </c>
      <c r="N69" s="7">
        <f>KPI指标及权重设计表!G69</f>
        <v>0.03</v>
      </c>
      <c r="O69" s="29" t="s">
        <v>309</v>
      </c>
      <c r="P69" s="37">
        <f>E69/$M$69*100*0.7*$N$69</f>
        <v>2.3099999999999996</v>
      </c>
      <c r="Q69" s="37">
        <f t="shared" ref="Q69:W69" si="93">F69/$M$69*100*0.7*$N$69</f>
        <v>2.333333333333333</v>
      </c>
      <c r="R69" s="37">
        <f t="shared" si="93"/>
        <v>2.2866666666666662</v>
      </c>
      <c r="S69" s="37">
        <f t="shared" si="93"/>
        <v>2.0533333333333328</v>
      </c>
      <c r="T69" s="37">
        <f t="shared" si="93"/>
        <v>2.0066666666666659</v>
      </c>
      <c r="U69" s="37">
        <f t="shared" si="93"/>
        <v>2.2866666666666662</v>
      </c>
      <c r="V69" s="37">
        <f t="shared" si="93"/>
        <v>0.97999999999999987</v>
      </c>
      <c r="W69" s="37">
        <f t="shared" si="93"/>
        <v>2.2866666666666662</v>
      </c>
    </row>
    <row r="70" spans="2:23" x14ac:dyDescent="0.3">
      <c r="B70" s="77" t="s">
        <v>116</v>
      </c>
      <c r="C70" s="3" t="s">
        <v>138</v>
      </c>
      <c r="D70" s="4" t="s">
        <v>105</v>
      </c>
      <c r="E70" s="6">
        <v>0</v>
      </c>
      <c r="F70" s="6">
        <v>4</v>
      </c>
      <c r="G70" s="6">
        <v>1</v>
      </c>
      <c r="H70" s="6">
        <v>0</v>
      </c>
      <c r="I70" s="6">
        <v>2</v>
      </c>
      <c r="J70" s="6">
        <v>2</v>
      </c>
      <c r="K70" s="6">
        <v>0</v>
      </c>
      <c r="L70" s="51">
        <v>1</v>
      </c>
      <c r="M70" s="50">
        <f>KPI指标及权重设计表!F70</f>
        <v>2</v>
      </c>
      <c r="N70" s="7">
        <f>KPI指标及权重设计表!G70</f>
        <v>0.2</v>
      </c>
      <c r="O70" s="16" t="s">
        <v>166</v>
      </c>
      <c r="P70" s="37">
        <f>IF((E70-$M$70)&gt;0,0,100*0.2*$N$70)</f>
        <v>4</v>
      </c>
      <c r="Q70" s="37">
        <f t="shared" ref="Q70:W70" si="94">IF((F70-$M$70)&gt;0,0,100*0.2*$N$70)</f>
        <v>0</v>
      </c>
      <c r="R70" s="37">
        <f t="shared" si="94"/>
        <v>4</v>
      </c>
      <c r="S70" s="37">
        <f t="shared" si="94"/>
        <v>4</v>
      </c>
      <c r="T70" s="37">
        <f t="shared" si="94"/>
        <v>4</v>
      </c>
      <c r="U70" s="37">
        <f t="shared" si="94"/>
        <v>4</v>
      </c>
      <c r="V70" s="37">
        <f t="shared" si="94"/>
        <v>4</v>
      </c>
      <c r="W70" s="37">
        <f t="shared" si="94"/>
        <v>4</v>
      </c>
    </row>
    <row r="71" spans="2:23" x14ac:dyDescent="0.3">
      <c r="B71" s="77"/>
      <c r="C71" s="3" t="s">
        <v>139</v>
      </c>
      <c r="D71" s="21" t="s">
        <v>98</v>
      </c>
      <c r="E71" s="6">
        <v>8</v>
      </c>
      <c r="F71" s="6">
        <v>4</v>
      </c>
      <c r="G71" s="6">
        <v>6</v>
      </c>
      <c r="H71" s="6">
        <v>2</v>
      </c>
      <c r="I71" s="6">
        <v>5</v>
      </c>
      <c r="J71" s="6">
        <v>9</v>
      </c>
      <c r="K71" s="6">
        <v>10</v>
      </c>
      <c r="L71" s="51">
        <v>5</v>
      </c>
      <c r="M71" s="50">
        <f>KPI指标及权重设计表!F71</f>
        <v>8</v>
      </c>
      <c r="N71" s="7">
        <f>KPI指标及权重设计表!G71</f>
        <v>0.2</v>
      </c>
      <c r="O71" s="22" t="s">
        <v>159</v>
      </c>
      <c r="P71" s="37">
        <f>IF(E71&lt;=$M$71,100*0.2*$N$71,100*0.2*$N$71*(1-(E71-$M$71)/$M$71))</f>
        <v>4</v>
      </c>
      <c r="Q71" s="37">
        <f t="shared" ref="Q71:W71" si="95">IF(F71&lt;=$M$71,100*0.2*$N$71,100*0.2*$N$71*(1-(F71-$M$71)/$M$71))</f>
        <v>4</v>
      </c>
      <c r="R71" s="37">
        <f t="shared" si="95"/>
        <v>4</v>
      </c>
      <c r="S71" s="37">
        <f t="shared" si="95"/>
        <v>4</v>
      </c>
      <c r="T71" s="37">
        <f t="shared" si="95"/>
        <v>4</v>
      </c>
      <c r="U71" s="37">
        <f t="shared" si="95"/>
        <v>3.5</v>
      </c>
      <c r="V71" s="37">
        <f t="shared" si="95"/>
        <v>3</v>
      </c>
      <c r="W71" s="37">
        <f t="shared" si="95"/>
        <v>4</v>
      </c>
    </row>
    <row r="72" spans="2:23" x14ac:dyDescent="0.3">
      <c r="B72" s="77"/>
      <c r="C72" s="3" t="s">
        <v>140</v>
      </c>
      <c r="D72" s="21" t="s">
        <v>99</v>
      </c>
      <c r="E72" s="7">
        <v>0.89</v>
      </c>
      <c r="F72" s="7">
        <v>0.92</v>
      </c>
      <c r="G72" s="7">
        <v>0.98</v>
      </c>
      <c r="H72" s="7">
        <v>0.88</v>
      </c>
      <c r="I72" s="7">
        <v>0.9</v>
      </c>
      <c r="J72" s="7">
        <v>0.88</v>
      </c>
      <c r="K72" s="7">
        <v>0.98</v>
      </c>
      <c r="L72" s="52">
        <v>0.56000000000000005</v>
      </c>
      <c r="M72" s="50">
        <f>KPI指标及权重设计表!F72</f>
        <v>0.98</v>
      </c>
      <c r="N72" s="7">
        <f>KPI指标及权重设计表!G72</f>
        <v>0.2</v>
      </c>
      <c r="O72" s="22" t="s">
        <v>102</v>
      </c>
      <c r="P72" s="37">
        <f>E72/$M$72*100*0.2*$N$72</f>
        <v>3.6326530612244903</v>
      </c>
      <c r="Q72" s="37">
        <f>F72/$M$72*100*0.2*$N$72</f>
        <v>3.7551020408163271</v>
      </c>
      <c r="R72" s="37">
        <f t="shared" ref="R72:W72" si="96">G72/$M$72*100*0.2*$N$72</f>
        <v>4</v>
      </c>
      <c r="S72" s="37">
        <f t="shared" si="96"/>
        <v>3.591836734693878</v>
      </c>
      <c r="T72" s="37">
        <f t="shared" si="96"/>
        <v>3.6734693877551026</v>
      </c>
      <c r="U72" s="37">
        <f t="shared" si="96"/>
        <v>3.591836734693878</v>
      </c>
      <c r="V72" s="37">
        <f t="shared" si="96"/>
        <v>4</v>
      </c>
      <c r="W72" s="37">
        <f t="shared" si="96"/>
        <v>2.285714285714286</v>
      </c>
    </row>
    <row r="73" spans="2:23" x14ac:dyDescent="0.3">
      <c r="B73" s="77"/>
      <c r="C73" s="3" t="s">
        <v>141</v>
      </c>
      <c r="D73" s="21" t="s">
        <v>128</v>
      </c>
      <c r="E73" s="7">
        <v>0.76</v>
      </c>
      <c r="F73" s="7">
        <v>0.82</v>
      </c>
      <c r="G73" s="7">
        <v>0.76</v>
      </c>
      <c r="H73" s="7">
        <v>0.9</v>
      </c>
      <c r="I73" s="7">
        <v>0.81</v>
      </c>
      <c r="J73" s="7">
        <v>0.66</v>
      </c>
      <c r="K73" s="7">
        <v>0.52</v>
      </c>
      <c r="L73" s="52">
        <v>0.9</v>
      </c>
      <c r="M73" s="50">
        <f>KPI指标及权重设计表!F73</f>
        <v>0.98</v>
      </c>
      <c r="N73" s="7">
        <f>KPI指标及权重设计表!G73</f>
        <v>0.2</v>
      </c>
      <c r="O73" s="22" t="s">
        <v>165</v>
      </c>
      <c r="P73" s="37">
        <f>E73/$M$73*100*0.2*$N$73</f>
        <v>3.1020408163265309</v>
      </c>
      <c r="Q73" s="37">
        <f t="shared" ref="Q73:W73" si="97">F73/$M$73*100*0.2*$N$73</f>
        <v>3.3469387755102042</v>
      </c>
      <c r="R73" s="37">
        <f>G73/$M$73*100*0.2*$N$73</f>
        <v>3.1020408163265309</v>
      </c>
      <c r="S73" s="37">
        <f t="shared" si="97"/>
        <v>3.6734693877551026</v>
      </c>
      <c r="T73" s="37">
        <f t="shared" si="97"/>
        <v>3.3061224489795928</v>
      </c>
      <c r="U73" s="37">
        <f t="shared" si="97"/>
        <v>2.6938775510204085</v>
      </c>
      <c r="V73" s="37">
        <f t="shared" si="97"/>
        <v>2.1224489795918369</v>
      </c>
      <c r="W73" s="37">
        <f t="shared" si="97"/>
        <v>3.6734693877551026</v>
      </c>
    </row>
    <row r="74" spans="2:23" x14ac:dyDescent="0.3">
      <c r="B74" s="77"/>
      <c r="C74" s="3" t="s">
        <v>142</v>
      </c>
      <c r="D74" s="21" t="s">
        <v>101</v>
      </c>
      <c r="E74" s="7">
        <v>0.98</v>
      </c>
      <c r="F74" s="7">
        <v>0.88</v>
      </c>
      <c r="G74" s="7">
        <v>0.82</v>
      </c>
      <c r="H74" s="7">
        <v>0.98</v>
      </c>
      <c r="I74" s="7">
        <v>1</v>
      </c>
      <c r="J74" s="7">
        <v>0.7</v>
      </c>
      <c r="K74" s="7">
        <v>0.8</v>
      </c>
      <c r="L74" s="52">
        <v>0.9</v>
      </c>
      <c r="M74" s="50">
        <f>KPI指标及权重设计表!F74</f>
        <v>0.98</v>
      </c>
      <c r="N74" s="7">
        <f>KPI指标及权重设计表!G74</f>
        <v>0.2</v>
      </c>
      <c r="O74" s="16" t="s">
        <v>123</v>
      </c>
      <c r="P74" s="37">
        <f>E74/$M$74*100*0.2*$N$74</f>
        <v>4</v>
      </c>
      <c r="Q74" s="37">
        <f t="shared" ref="Q74:W74" si="98">F74/$M$74*100*0.2*$N$74</f>
        <v>3.591836734693878</v>
      </c>
      <c r="R74" s="37">
        <f t="shared" si="98"/>
        <v>3.3469387755102042</v>
      </c>
      <c r="S74" s="37">
        <f t="shared" si="98"/>
        <v>4</v>
      </c>
      <c r="T74" s="37">
        <f t="shared" si="98"/>
        <v>4.0816326530612255</v>
      </c>
      <c r="U74" s="37">
        <f t="shared" si="98"/>
        <v>2.8571428571428577</v>
      </c>
      <c r="V74" s="37">
        <f t="shared" si="98"/>
        <v>3.2653061224489797</v>
      </c>
      <c r="W74" s="37">
        <f t="shared" si="98"/>
        <v>3.6734693877551026</v>
      </c>
    </row>
    <row r="75" spans="2:23" x14ac:dyDescent="0.3">
      <c r="B75" s="77" t="s">
        <v>117</v>
      </c>
      <c r="C75" s="3" t="s">
        <v>143</v>
      </c>
      <c r="D75" s="21" t="s">
        <v>176</v>
      </c>
      <c r="E75" s="7">
        <v>0.9</v>
      </c>
      <c r="F75" s="7">
        <v>0.92</v>
      </c>
      <c r="G75" s="7">
        <v>0.88</v>
      </c>
      <c r="H75" s="7">
        <v>0.86</v>
      </c>
      <c r="I75" s="7">
        <v>0.96</v>
      </c>
      <c r="J75" s="7">
        <v>1</v>
      </c>
      <c r="K75" s="7">
        <v>0.9</v>
      </c>
      <c r="L75" s="52">
        <v>0.5</v>
      </c>
      <c r="M75" s="50">
        <f>KPI指标及权重设计表!F75</f>
        <v>0.9</v>
      </c>
      <c r="N75" s="7">
        <f>KPI指标及权重设计表!G75</f>
        <v>0.5</v>
      </c>
      <c r="O75" s="22" t="s">
        <v>165</v>
      </c>
      <c r="P75" s="37">
        <f>E75/$M$75*100*0.1*$N$75</f>
        <v>5</v>
      </c>
      <c r="Q75" s="37">
        <f t="shared" ref="Q75:W75" si="99">F75/$M$75*100*0.1*$N$75</f>
        <v>5.1111111111111107</v>
      </c>
      <c r="R75" s="37">
        <f t="shared" si="99"/>
        <v>4.8888888888888893</v>
      </c>
      <c r="S75" s="37">
        <f t="shared" si="99"/>
        <v>4.7777777777777777</v>
      </c>
      <c r="T75" s="37">
        <f t="shared" si="99"/>
        <v>5.3333333333333339</v>
      </c>
      <c r="U75" s="37">
        <f t="shared" si="99"/>
        <v>5.5555555555555562</v>
      </c>
      <c r="V75" s="37">
        <f t="shared" si="99"/>
        <v>5</v>
      </c>
      <c r="W75" s="37">
        <f t="shared" si="99"/>
        <v>2.7777777777777781</v>
      </c>
    </row>
    <row r="76" spans="2:23" x14ac:dyDescent="0.3">
      <c r="B76" s="77"/>
      <c r="C76" s="3" t="s">
        <v>144</v>
      </c>
      <c r="D76" s="4" t="s">
        <v>18</v>
      </c>
      <c r="E76" s="7">
        <v>0.75</v>
      </c>
      <c r="F76" s="7">
        <v>0.8</v>
      </c>
      <c r="G76" s="7">
        <v>0.82</v>
      </c>
      <c r="H76" s="7">
        <v>0.98</v>
      </c>
      <c r="I76" s="7">
        <v>0.8</v>
      </c>
      <c r="J76" s="7">
        <v>0.7</v>
      </c>
      <c r="K76" s="7">
        <v>0.8</v>
      </c>
      <c r="L76" s="52">
        <v>0.9</v>
      </c>
      <c r="M76" s="50">
        <f>KPI指标及权重设计表!F76</f>
        <v>0.9</v>
      </c>
      <c r="N76" s="7">
        <f>KPI指标及权重设计表!G76</f>
        <v>0.5</v>
      </c>
      <c r="O76" s="16" t="s">
        <v>20</v>
      </c>
      <c r="P76" s="37">
        <f>E76/$M$76*100*0.1*$N$76</f>
        <v>4.166666666666667</v>
      </c>
      <c r="Q76" s="37">
        <f t="shared" ref="Q76:W76" si="100">F76/$M$76*100*0.1*$N$76</f>
        <v>4.4444444444444455</v>
      </c>
      <c r="R76" s="37">
        <f t="shared" si="100"/>
        <v>4.5555555555555554</v>
      </c>
      <c r="S76" s="37">
        <f t="shared" si="100"/>
        <v>5.4444444444444446</v>
      </c>
      <c r="T76" s="37">
        <f t="shared" si="100"/>
        <v>4.4444444444444455</v>
      </c>
      <c r="U76" s="37">
        <f t="shared" si="100"/>
        <v>3.8888888888888888</v>
      </c>
      <c r="V76" s="37">
        <f t="shared" si="100"/>
        <v>4.4444444444444455</v>
      </c>
      <c r="W76" s="37">
        <f t="shared" si="100"/>
        <v>5</v>
      </c>
    </row>
    <row r="77" spans="2:23" x14ac:dyDescent="0.3">
      <c r="B77" s="77" t="s">
        <v>118</v>
      </c>
      <c r="C77" s="3" t="s">
        <v>145</v>
      </c>
      <c r="D77" s="21" t="s">
        <v>161</v>
      </c>
      <c r="E77" s="24">
        <v>0</v>
      </c>
      <c r="F77" s="24">
        <v>0</v>
      </c>
      <c r="G77" s="24">
        <v>0</v>
      </c>
      <c r="H77" s="24">
        <v>0</v>
      </c>
      <c r="I77" s="24">
        <v>0</v>
      </c>
      <c r="J77" s="24">
        <v>0</v>
      </c>
      <c r="K77" s="24">
        <v>0</v>
      </c>
      <c r="L77" s="53">
        <v>0</v>
      </c>
      <c r="M77" s="50">
        <f>KPI指标及权重设计表!F77</f>
        <v>0</v>
      </c>
      <c r="N77" s="7">
        <f>KPI指标及权重设计表!G77</f>
        <v>0</v>
      </c>
      <c r="O77" s="16" t="s">
        <v>174</v>
      </c>
      <c r="P77" s="37">
        <f>2*E77</f>
        <v>0</v>
      </c>
      <c r="Q77" s="37">
        <f t="shared" ref="Q77:W77" si="101">2*F77</f>
        <v>0</v>
      </c>
      <c r="R77" s="37">
        <f t="shared" si="101"/>
        <v>0</v>
      </c>
      <c r="S77" s="37">
        <f t="shared" si="101"/>
        <v>0</v>
      </c>
      <c r="T77" s="37">
        <f t="shared" si="101"/>
        <v>0</v>
      </c>
      <c r="U77" s="37">
        <f t="shared" si="101"/>
        <v>0</v>
      </c>
      <c r="V77" s="37">
        <f t="shared" si="101"/>
        <v>0</v>
      </c>
      <c r="W77" s="37">
        <f t="shared" si="101"/>
        <v>0</v>
      </c>
    </row>
    <row r="78" spans="2:23" x14ac:dyDescent="0.3">
      <c r="B78" s="77"/>
      <c r="C78" s="3" t="s">
        <v>146</v>
      </c>
      <c r="D78" s="21" t="s">
        <v>106</v>
      </c>
      <c r="E78" s="24">
        <v>0</v>
      </c>
      <c r="F78" s="24">
        <v>0</v>
      </c>
      <c r="G78" s="24">
        <v>1</v>
      </c>
      <c r="H78" s="24">
        <v>0</v>
      </c>
      <c r="I78" s="24">
        <v>0</v>
      </c>
      <c r="J78" s="24">
        <v>0</v>
      </c>
      <c r="K78" s="24">
        <v>0</v>
      </c>
      <c r="L78" s="53">
        <v>0</v>
      </c>
      <c r="M78" s="50">
        <f>KPI指标及权重设计表!F78</f>
        <v>0</v>
      </c>
      <c r="N78" s="7">
        <f>KPI指标及权重设计表!G78</f>
        <v>0</v>
      </c>
      <c r="O78" s="22" t="s">
        <v>312</v>
      </c>
      <c r="P78" s="37">
        <f>5*E78</f>
        <v>0</v>
      </c>
      <c r="Q78" s="37">
        <f t="shared" ref="Q78:W78" si="102">5*F78</f>
        <v>0</v>
      </c>
      <c r="R78" s="37">
        <f t="shared" si="102"/>
        <v>5</v>
      </c>
      <c r="S78" s="37">
        <f t="shared" si="102"/>
        <v>0</v>
      </c>
      <c r="T78" s="37">
        <f t="shared" si="102"/>
        <v>0</v>
      </c>
      <c r="U78" s="37">
        <f t="shared" si="102"/>
        <v>0</v>
      </c>
      <c r="V78" s="37">
        <f t="shared" si="102"/>
        <v>0</v>
      </c>
      <c r="W78" s="37">
        <f t="shared" si="102"/>
        <v>0</v>
      </c>
    </row>
    <row r="79" spans="2:23" x14ac:dyDescent="0.3">
      <c r="B79" s="77"/>
      <c r="C79" s="3" t="s">
        <v>147</v>
      </c>
      <c r="D79" s="21" t="s">
        <v>108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53">
        <v>0</v>
      </c>
      <c r="M79" s="50">
        <f>KPI指标及权重设计表!F79</f>
        <v>0</v>
      </c>
      <c r="N79" s="7">
        <f>KPI指标及权重设计表!G79</f>
        <v>0</v>
      </c>
      <c r="O79" s="22" t="s">
        <v>308</v>
      </c>
      <c r="P79" s="37">
        <f>2*E79</f>
        <v>0</v>
      </c>
      <c r="Q79" s="37">
        <f t="shared" ref="Q79:W79" si="103">2*F79</f>
        <v>0</v>
      </c>
      <c r="R79" s="37">
        <f t="shared" si="103"/>
        <v>0</v>
      </c>
      <c r="S79" s="37">
        <f t="shared" si="103"/>
        <v>0</v>
      </c>
      <c r="T79" s="37">
        <f t="shared" si="103"/>
        <v>0</v>
      </c>
      <c r="U79" s="37">
        <f t="shared" si="103"/>
        <v>0</v>
      </c>
      <c r="V79" s="37">
        <f t="shared" si="103"/>
        <v>0</v>
      </c>
      <c r="W79" s="37">
        <f t="shared" si="103"/>
        <v>0</v>
      </c>
    </row>
    <row r="80" spans="2:23" x14ac:dyDescent="0.3">
      <c r="B80" s="77"/>
      <c r="C80" s="3" t="s">
        <v>148</v>
      </c>
      <c r="D80" s="21" t="s">
        <v>109</v>
      </c>
      <c r="E80" s="24">
        <v>0</v>
      </c>
      <c r="F80" s="24">
        <v>0</v>
      </c>
      <c r="G80" s="24">
        <v>0</v>
      </c>
      <c r="H80" s="24">
        <v>0</v>
      </c>
      <c r="I80" s="24">
        <v>0</v>
      </c>
      <c r="J80" s="24">
        <v>0</v>
      </c>
      <c r="K80" s="24">
        <v>0</v>
      </c>
      <c r="L80" s="53">
        <v>0</v>
      </c>
      <c r="M80" s="50">
        <f>KPI指标及权重设计表!F80</f>
        <v>0</v>
      </c>
      <c r="N80" s="7">
        <f>KPI指标及权重设计表!G80</f>
        <v>0</v>
      </c>
      <c r="O80" s="16" t="s">
        <v>171</v>
      </c>
      <c r="P80" s="37">
        <f>-5*E80</f>
        <v>0</v>
      </c>
      <c r="Q80" s="37">
        <f t="shared" ref="Q80:W80" si="104">-5*F80</f>
        <v>0</v>
      </c>
      <c r="R80" s="37">
        <f t="shared" si="104"/>
        <v>0</v>
      </c>
      <c r="S80" s="37">
        <f t="shared" si="104"/>
        <v>0</v>
      </c>
      <c r="T80" s="37">
        <f t="shared" si="104"/>
        <v>0</v>
      </c>
      <c r="U80" s="37">
        <f t="shared" si="104"/>
        <v>0</v>
      </c>
      <c r="V80" s="37">
        <f t="shared" si="104"/>
        <v>0</v>
      </c>
      <c r="W80" s="37">
        <f t="shared" si="104"/>
        <v>0</v>
      </c>
    </row>
    <row r="81" spans="2:23" x14ac:dyDescent="0.3">
      <c r="B81" s="77"/>
      <c r="C81" s="3" t="s">
        <v>149</v>
      </c>
      <c r="D81" s="21" t="s">
        <v>110</v>
      </c>
      <c r="E81" s="24">
        <v>0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  <c r="L81" s="53">
        <v>0</v>
      </c>
      <c r="M81" s="50">
        <f>KPI指标及权重设计表!F81</f>
        <v>0</v>
      </c>
      <c r="N81" s="7">
        <f>KPI指标及权重设计表!G81</f>
        <v>0</v>
      </c>
      <c r="O81" s="22" t="s">
        <v>168</v>
      </c>
      <c r="P81" s="37">
        <f>-2*E81</f>
        <v>0</v>
      </c>
      <c r="Q81" s="37">
        <f t="shared" ref="Q81:W81" si="105">-2*F81</f>
        <v>0</v>
      </c>
      <c r="R81" s="37">
        <f t="shared" si="105"/>
        <v>0</v>
      </c>
      <c r="S81" s="37">
        <f t="shared" si="105"/>
        <v>0</v>
      </c>
      <c r="T81" s="37">
        <f t="shared" si="105"/>
        <v>0</v>
      </c>
      <c r="U81" s="37">
        <f t="shared" si="105"/>
        <v>0</v>
      </c>
      <c r="V81" s="37">
        <f t="shared" si="105"/>
        <v>0</v>
      </c>
      <c r="W81" s="37">
        <f t="shared" si="105"/>
        <v>0</v>
      </c>
    </row>
    <row r="82" spans="2:23" x14ac:dyDescent="0.3">
      <c r="B82" s="77"/>
      <c r="C82" s="3" t="s">
        <v>150</v>
      </c>
      <c r="D82" s="21" t="s">
        <v>112</v>
      </c>
      <c r="E82" s="24">
        <v>0</v>
      </c>
      <c r="F82" s="24">
        <v>0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  <c r="L82" s="53">
        <v>0</v>
      </c>
      <c r="M82" s="50">
        <f>KPI指标及权重设计表!F82</f>
        <v>0</v>
      </c>
      <c r="N82" s="7">
        <f>KPI指标及权重设计表!G82</f>
        <v>0</v>
      </c>
      <c r="O82" s="22" t="s">
        <v>310</v>
      </c>
      <c r="P82" s="37">
        <f>-5*E82</f>
        <v>0</v>
      </c>
      <c r="Q82" s="37">
        <f t="shared" ref="Q82:W82" si="106">-5*F82</f>
        <v>0</v>
      </c>
      <c r="R82" s="37">
        <f t="shared" si="106"/>
        <v>0</v>
      </c>
      <c r="S82" s="37">
        <f t="shared" si="106"/>
        <v>0</v>
      </c>
      <c r="T82" s="37">
        <f t="shared" si="106"/>
        <v>0</v>
      </c>
      <c r="U82" s="37">
        <f t="shared" si="106"/>
        <v>0</v>
      </c>
      <c r="V82" s="37">
        <f t="shared" si="106"/>
        <v>0</v>
      </c>
      <c r="W82" s="37">
        <f t="shared" si="106"/>
        <v>0</v>
      </c>
    </row>
    <row r="83" spans="2:23" x14ac:dyDescent="0.3">
      <c r="B83" s="77"/>
      <c r="C83" s="3" t="s">
        <v>151</v>
      </c>
      <c r="D83" s="21" t="s">
        <v>119</v>
      </c>
      <c r="E83" s="24">
        <v>0</v>
      </c>
      <c r="F83" s="24">
        <v>0</v>
      </c>
      <c r="G83" s="24">
        <v>0</v>
      </c>
      <c r="H83" s="24">
        <v>0</v>
      </c>
      <c r="I83" s="24">
        <v>1</v>
      </c>
      <c r="J83" s="24">
        <v>0</v>
      </c>
      <c r="K83" s="24">
        <v>0</v>
      </c>
      <c r="L83" s="53">
        <v>0</v>
      </c>
      <c r="M83" s="50">
        <f>KPI指标及权重设计表!F83</f>
        <v>0</v>
      </c>
      <c r="N83" s="7">
        <f>KPI指标及权重设计表!G83</f>
        <v>0</v>
      </c>
      <c r="O83" s="22" t="s">
        <v>164</v>
      </c>
      <c r="P83" s="37">
        <f>-2*E83</f>
        <v>0</v>
      </c>
      <c r="Q83" s="37">
        <f t="shared" ref="Q83:W83" si="107">-2*F83</f>
        <v>0</v>
      </c>
      <c r="R83" s="37">
        <f t="shared" si="107"/>
        <v>0</v>
      </c>
      <c r="S83" s="37">
        <f t="shared" si="107"/>
        <v>0</v>
      </c>
      <c r="T83" s="37">
        <f t="shared" si="107"/>
        <v>-2</v>
      </c>
      <c r="U83" s="37">
        <f t="shared" si="107"/>
        <v>0</v>
      </c>
      <c r="V83" s="37">
        <f t="shared" si="107"/>
        <v>0</v>
      </c>
      <c r="W83" s="37">
        <f t="shared" si="107"/>
        <v>0</v>
      </c>
    </row>
    <row r="84" spans="2:23" ht="18.75" thickBot="1" x14ac:dyDescent="0.35">
      <c r="B84" s="19" t="s">
        <v>154</v>
      </c>
      <c r="C84" s="8" t="s">
        <v>155</v>
      </c>
      <c r="D84" s="23" t="s">
        <v>157</v>
      </c>
      <c r="E84" s="9">
        <v>75</v>
      </c>
      <c r="F84" s="9">
        <v>88</v>
      </c>
      <c r="G84" s="9">
        <v>50</v>
      </c>
      <c r="H84" s="9">
        <v>99</v>
      </c>
      <c r="I84" s="9">
        <v>81</v>
      </c>
      <c r="J84" s="9">
        <v>86</v>
      </c>
      <c r="K84" s="9">
        <v>87</v>
      </c>
      <c r="L84" s="54">
        <v>80</v>
      </c>
      <c r="M84" s="50"/>
      <c r="N84" s="7">
        <f>KPI指标及权重设计表!G84</f>
        <v>0</v>
      </c>
      <c r="O84" s="17" t="s">
        <v>158</v>
      </c>
      <c r="P84" s="37">
        <f>IF((E84-$M$84)/(100-$M$84)*10&lt;=-10,-10,(E84-$M$84)/(100-$M$84)*10)</f>
        <v>7.5</v>
      </c>
      <c r="Q84" s="37">
        <f t="shared" ref="Q84:W84" si="108">IF((F84-$M$84)/(100-$M$84)*10&lt;=-10,-10,(F84-$M$84)/(100-$M$84)*10)</f>
        <v>8.8000000000000007</v>
      </c>
      <c r="R84" s="37">
        <f t="shared" si="108"/>
        <v>5</v>
      </c>
      <c r="S84" s="37">
        <f t="shared" si="108"/>
        <v>9.9</v>
      </c>
      <c r="T84" s="37">
        <f t="shared" si="108"/>
        <v>8.1000000000000014</v>
      </c>
      <c r="U84" s="37">
        <f t="shared" si="108"/>
        <v>8.6</v>
      </c>
      <c r="V84" s="37">
        <f t="shared" si="108"/>
        <v>8.6999999999999993</v>
      </c>
      <c r="W84" s="37">
        <f t="shared" si="108"/>
        <v>8</v>
      </c>
    </row>
    <row r="85" spans="2:23" ht="18.75" thickTop="1" x14ac:dyDescent="0.3">
      <c r="B85" s="26"/>
      <c r="C85" s="12"/>
      <c r="D85" s="27"/>
      <c r="E85" s="28"/>
      <c r="F85" s="28"/>
      <c r="G85" s="28"/>
      <c r="H85" s="28"/>
      <c r="I85" s="28"/>
      <c r="J85" s="28"/>
      <c r="K85" s="28"/>
      <c r="L85" s="28"/>
      <c r="M85" s="6"/>
      <c r="N85" s="7"/>
      <c r="O85" s="13"/>
      <c r="P85" s="37">
        <f>SUM(P61:P84)</f>
        <v>101.60403598281418</v>
      </c>
      <c r="Q85" s="37">
        <f t="shared" ref="Q85:W85" si="109">SUM(Q61:Q84)</f>
        <v>103.20949158610813</v>
      </c>
      <c r="R85" s="37">
        <f t="shared" si="109"/>
        <v>105.97172228189521</v>
      </c>
      <c r="S85" s="37">
        <f t="shared" si="109"/>
        <v>103.33386752595774</v>
      </c>
      <c r="T85" s="37">
        <f t="shared" si="109"/>
        <v>100.34370986991286</v>
      </c>
      <c r="U85" s="37">
        <f t="shared" si="109"/>
        <v>99.563026733500408</v>
      </c>
      <c r="V85" s="37">
        <f t="shared" si="109"/>
        <v>73.078100131280578</v>
      </c>
      <c r="W85" s="37">
        <f t="shared" si="109"/>
        <v>104.31530218403149</v>
      </c>
    </row>
    <row r="86" spans="2:23" ht="24.75" x14ac:dyDescent="0.3">
      <c r="B86" s="78" t="s">
        <v>280</v>
      </c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50"/>
      <c r="N86" s="7"/>
    </row>
    <row r="87" spans="2:23" ht="17.25" thickBot="1" x14ac:dyDescent="0.35">
      <c r="B87" s="79" t="s">
        <v>175</v>
      </c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6"/>
      <c r="N87" s="7"/>
    </row>
    <row r="88" spans="2:23" ht="17.25" thickTop="1" x14ac:dyDescent="0.3">
      <c r="B88" s="1" t="s">
        <v>0</v>
      </c>
      <c r="C88" s="2" t="s">
        <v>1</v>
      </c>
      <c r="D88" s="2" t="s">
        <v>95</v>
      </c>
      <c r="E88" s="41" t="s">
        <v>261</v>
      </c>
      <c r="F88" s="41" t="s">
        <v>242</v>
      </c>
      <c r="G88" s="41" t="s">
        <v>243</v>
      </c>
      <c r="H88" s="41" t="s">
        <v>244</v>
      </c>
      <c r="I88" s="41" t="s">
        <v>245</v>
      </c>
      <c r="J88" s="41" t="s">
        <v>246</v>
      </c>
      <c r="K88" s="41" t="s">
        <v>262</v>
      </c>
      <c r="L88" s="15" t="s">
        <v>263</v>
      </c>
      <c r="M88" s="50" t="str">
        <f>KPI指标及权重设计表!F88</f>
        <v>考核标准</v>
      </c>
      <c r="N88" s="7" t="str">
        <f>KPI指标及权重设计表!G88</f>
        <v>权重</v>
      </c>
      <c r="O88" s="15" t="s">
        <v>97</v>
      </c>
      <c r="P88" s="40" t="s">
        <v>261</v>
      </c>
      <c r="Q88" s="40" t="s">
        <v>242</v>
      </c>
      <c r="R88" s="40" t="s">
        <v>243</v>
      </c>
      <c r="S88" s="40" t="s">
        <v>244</v>
      </c>
      <c r="T88" s="40" t="s">
        <v>245</v>
      </c>
      <c r="U88" s="40" t="s">
        <v>246</v>
      </c>
      <c r="V88" s="40" t="s">
        <v>262</v>
      </c>
      <c r="W88" s="40" t="s">
        <v>263</v>
      </c>
    </row>
    <row r="89" spans="2:23" ht="16.5" customHeight="1" x14ac:dyDescent="0.3">
      <c r="B89" s="77" t="s">
        <v>115</v>
      </c>
      <c r="C89" s="3" t="s">
        <v>129</v>
      </c>
      <c r="D89" s="21" t="s">
        <v>47</v>
      </c>
      <c r="E89" s="7">
        <v>0.8</v>
      </c>
      <c r="F89" s="7">
        <v>0.8</v>
      </c>
      <c r="G89" s="7">
        <v>0.82</v>
      </c>
      <c r="H89" s="7">
        <v>0.98</v>
      </c>
      <c r="I89" s="7">
        <v>1</v>
      </c>
      <c r="J89" s="7">
        <v>0.7</v>
      </c>
      <c r="K89" s="7">
        <v>0.8</v>
      </c>
      <c r="L89" s="52">
        <v>0.9</v>
      </c>
      <c r="M89" s="50">
        <f>KPI指标及权重设计表!F89</f>
        <v>0.95</v>
      </c>
      <c r="N89" s="7">
        <f>KPI指标及权重设计表!G89</f>
        <v>0.2</v>
      </c>
      <c r="O89" s="31" t="s">
        <v>49</v>
      </c>
      <c r="P89" s="37">
        <f>E89/$M$89*100*0.7*$N$89</f>
        <v>11.789473684210527</v>
      </c>
      <c r="Q89" s="37">
        <f t="shared" ref="Q89:W89" si="110">F89/$M$89*100*0.7*$N$89</f>
        <v>11.789473684210527</v>
      </c>
      <c r="R89" s="37">
        <f t="shared" si="110"/>
        <v>12.084210526315792</v>
      </c>
      <c r="S89" s="37">
        <f t="shared" si="110"/>
        <v>14.442105263157893</v>
      </c>
      <c r="T89" s="37">
        <f t="shared" si="110"/>
        <v>14.736842105263158</v>
      </c>
      <c r="U89" s="37">
        <f t="shared" si="110"/>
        <v>10.315789473684209</v>
      </c>
      <c r="V89" s="37">
        <f t="shared" si="110"/>
        <v>11.789473684210527</v>
      </c>
      <c r="W89" s="37">
        <f t="shared" si="110"/>
        <v>13.263157894736842</v>
      </c>
    </row>
    <row r="90" spans="2:23" ht="16.5" customHeight="1" x14ac:dyDescent="0.3">
      <c r="B90" s="77"/>
      <c r="C90" s="3" t="s">
        <v>130</v>
      </c>
      <c r="D90" s="4" t="s">
        <v>50</v>
      </c>
      <c r="E90" s="7">
        <v>0.65</v>
      </c>
      <c r="F90" s="7">
        <v>0.82</v>
      </c>
      <c r="G90" s="7">
        <v>0.76</v>
      </c>
      <c r="H90" s="7">
        <v>0.7</v>
      </c>
      <c r="I90" s="7">
        <v>0.81</v>
      </c>
      <c r="J90" s="7">
        <v>0.66</v>
      </c>
      <c r="K90" s="7">
        <v>0.52</v>
      </c>
      <c r="L90" s="52">
        <v>0.88</v>
      </c>
      <c r="M90" s="50">
        <f>KPI指标及权重设计表!F90</f>
        <v>0.95</v>
      </c>
      <c r="N90" s="7">
        <f>KPI指标及权重设计表!G90</f>
        <v>0.2</v>
      </c>
      <c r="O90" s="16" t="s">
        <v>205</v>
      </c>
      <c r="P90" s="37">
        <f>E90/$M$90*100*0.7*$N$90</f>
        <v>9.5789473684210531</v>
      </c>
      <c r="Q90" s="37">
        <f t="shared" ref="Q90:W90" si="111">F90/$M$90*100*0.7*$N$90</f>
        <v>12.084210526315792</v>
      </c>
      <c r="R90" s="37">
        <f t="shared" si="111"/>
        <v>11.200000000000001</v>
      </c>
      <c r="S90" s="37">
        <f t="shared" si="111"/>
        <v>10.315789473684209</v>
      </c>
      <c r="T90" s="37">
        <f t="shared" si="111"/>
        <v>11.936842105263159</v>
      </c>
      <c r="U90" s="37">
        <f t="shared" si="111"/>
        <v>9.7263157894736842</v>
      </c>
      <c r="V90" s="37">
        <f t="shared" si="111"/>
        <v>7.6631578947368428</v>
      </c>
      <c r="W90" s="37">
        <f t="shared" si="111"/>
        <v>12.968421052631578</v>
      </c>
    </row>
    <row r="91" spans="2:23" ht="16.5" customHeight="1" x14ac:dyDescent="0.3">
      <c r="B91" s="77"/>
      <c r="C91" s="3" t="s">
        <v>131</v>
      </c>
      <c r="D91" s="21" t="s">
        <v>52</v>
      </c>
      <c r="E91" s="7">
        <v>0.01</v>
      </c>
      <c r="F91" s="7">
        <v>0.01</v>
      </c>
      <c r="G91" s="7">
        <v>0.01</v>
      </c>
      <c r="H91" s="7">
        <v>0</v>
      </c>
      <c r="I91" s="7">
        <v>0.01</v>
      </c>
      <c r="J91" s="7">
        <v>0</v>
      </c>
      <c r="K91" s="7">
        <v>0</v>
      </c>
      <c r="L91" s="52">
        <v>0.01</v>
      </c>
      <c r="M91" s="50">
        <f>KPI指标及权重设计表!F91</f>
        <v>0.02</v>
      </c>
      <c r="N91" s="7">
        <f>KPI指标及权重设计表!G91</f>
        <v>0.1</v>
      </c>
      <c r="O91" s="16" t="s">
        <v>54</v>
      </c>
      <c r="P91" s="37">
        <f>E91/$M$91*100*0.7*$N$91</f>
        <v>3.5</v>
      </c>
      <c r="Q91" s="37">
        <f t="shared" ref="Q91:W91" si="112">F91/$M$91*100*0.7*$N$91</f>
        <v>3.5</v>
      </c>
      <c r="R91" s="37">
        <f t="shared" si="112"/>
        <v>3.5</v>
      </c>
      <c r="S91" s="37">
        <f t="shared" si="112"/>
        <v>0</v>
      </c>
      <c r="T91" s="37">
        <f t="shared" si="112"/>
        <v>3.5</v>
      </c>
      <c r="U91" s="37">
        <f t="shared" si="112"/>
        <v>0</v>
      </c>
      <c r="V91" s="37">
        <f t="shared" si="112"/>
        <v>0</v>
      </c>
      <c r="W91" s="37">
        <f t="shared" si="112"/>
        <v>3.5</v>
      </c>
    </row>
    <row r="92" spans="2:23" ht="16.5" customHeight="1" x14ac:dyDescent="0.3">
      <c r="B92" s="77"/>
      <c r="C92" s="3" t="s">
        <v>132</v>
      </c>
      <c r="D92" s="21" t="s">
        <v>55</v>
      </c>
      <c r="E92" s="7">
        <v>0.9</v>
      </c>
      <c r="F92" s="7">
        <v>1</v>
      </c>
      <c r="G92" s="7">
        <v>0.98</v>
      </c>
      <c r="H92" s="7">
        <v>0.98</v>
      </c>
      <c r="I92" s="7">
        <v>1</v>
      </c>
      <c r="J92" s="7">
        <v>0.88</v>
      </c>
      <c r="K92" s="7">
        <v>0.98</v>
      </c>
      <c r="L92" s="52">
        <v>0.76</v>
      </c>
      <c r="M92" s="50">
        <f>KPI指标及权重设计表!F92</f>
        <v>0.98</v>
      </c>
      <c r="N92" s="7">
        <f>KPI指标及权重设计表!G92</f>
        <v>0.1</v>
      </c>
      <c r="O92" s="16" t="s">
        <v>57</v>
      </c>
      <c r="P92" s="37">
        <f>E92/$M$92*100*0.7*$N$92</f>
        <v>6.4285714285714297</v>
      </c>
      <c r="Q92" s="37">
        <f t="shared" ref="Q92:W92" si="113">F92/$M$92*100*0.7*$N$92</f>
        <v>7.1428571428571432</v>
      </c>
      <c r="R92" s="37">
        <f t="shared" si="113"/>
        <v>7</v>
      </c>
      <c r="S92" s="37">
        <f t="shared" si="113"/>
        <v>7</v>
      </c>
      <c r="T92" s="37">
        <f t="shared" si="113"/>
        <v>7.1428571428571432</v>
      </c>
      <c r="U92" s="37">
        <f t="shared" si="113"/>
        <v>6.2857142857142856</v>
      </c>
      <c r="V92" s="37">
        <f t="shared" si="113"/>
        <v>7</v>
      </c>
      <c r="W92" s="37">
        <f t="shared" si="113"/>
        <v>5.4285714285714288</v>
      </c>
    </row>
    <row r="93" spans="2:23" x14ac:dyDescent="0.3">
      <c r="B93" s="77"/>
      <c r="C93" s="3" t="s">
        <v>133</v>
      </c>
      <c r="D93" s="21" t="s">
        <v>94</v>
      </c>
      <c r="E93" s="7">
        <v>0.98</v>
      </c>
      <c r="F93" s="7">
        <v>0.88</v>
      </c>
      <c r="G93" s="7">
        <v>0.82</v>
      </c>
      <c r="H93" s="7">
        <v>0.98</v>
      </c>
      <c r="I93" s="7">
        <v>1</v>
      </c>
      <c r="J93" s="7">
        <v>0.7</v>
      </c>
      <c r="K93" s="7">
        <v>0.8</v>
      </c>
      <c r="L93" s="52">
        <v>0.9</v>
      </c>
      <c r="M93" s="50">
        <f>KPI指标及权重设计表!F93</f>
        <v>0.95</v>
      </c>
      <c r="N93" s="7">
        <f>KPI指标及权重设计表!G93</f>
        <v>0.1</v>
      </c>
      <c r="O93" s="16" t="s">
        <v>58</v>
      </c>
      <c r="P93" s="37">
        <f>E93/$M$93*100*0.7*$N$93</f>
        <v>7.2210526315789467</v>
      </c>
      <c r="Q93" s="37">
        <f t="shared" ref="Q93:W93" si="114">F93/$M$93*100*0.7*$N$93</f>
        <v>6.4842105263157892</v>
      </c>
      <c r="R93" s="37">
        <f t="shared" si="114"/>
        <v>6.0421052631578958</v>
      </c>
      <c r="S93" s="37">
        <f t="shared" si="114"/>
        <v>7.2210526315789467</v>
      </c>
      <c r="T93" s="37">
        <f t="shared" si="114"/>
        <v>7.3684210526315788</v>
      </c>
      <c r="U93" s="37">
        <f t="shared" si="114"/>
        <v>5.1578947368421044</v>
      </c>
      <c r="V93" s="37">
        <f t="shared" si="114"/>
        <v>5.8947368421052637</v>
      </c>
      <c r="W93" s="37">
        <f t="shared" si="114"/>
        <v>6.6315789473684212</v>
      </c>
    </row>
    <row r="94" spans="2:23" ht="17.25" customHeight="1" x14ac:dyDescent="0.3">
      <c r="B94" s="77"/>
      <c r="C94" s="3" t="s">
        <v>134</v>
      </c>
      <c r="D94" s="21" t="s">
        <v>59</v>
      </c>
      <c r="E94" s="7">
        <v>0.99</v>
      </c>
      <c r="F94" s="7">
        <v>1</v>
      </c>
      <c r="G94" s="7">
        <v>0.98</v>
      </c>
      <c r="H94" s="7">
        <v>0.88</v>
      </c>
      <c r="I94" s="7">
        <v>0.86</v>
      </c>
      <c r="J94" s="7">
        <v>0.98</v>
      </c>
      <c r="K94" s="7">
        <v>0.42</v>
      </c>
      <c r="L94" s="52">
        <v>0.98</v>
      </c>
      <c r="M94" s="50">
        <f>KPI指标及权重设计表!F94</f>
        <v>0.95</v>
      </c>
      <c r="N94" s="7">
        <f>KPI指标及权重设计表!G94</f>
        <v>0.05</v>
      </c>
      <c r="O94" s="16" t="s">
        <v>60</v>
      </c>
      <c r="P94" s="37">
        <f>E94/$M$94*100*0.7*$N$94</f>
        <v>3.6473684210526316</v>
      </c>
      <c r="Q94" s="37">
        <f t="shared" ref="Q94:W94" si="115">F94/$M$94*100*0.7*$N$94</f>
        <v>3.6842105263157894</v>
      </c>
      <c r="R94" s="37">
        <f t="shared" si="115"/>
        <v>3.6105263157894734</v>
      </c>
      <c r="S94" s="37">
        <f t="shared" si="115"/>
        <v>3.2421052631578946</v>
      </c>
      <c r="T94" s="37">
        <f t="shared" si="115"/>
        <v>3.168421052631579</v>
      </c>
      <c r="U94" s="37">
        <f t="shared" si="115"/>
        <v>3.6105263157894734</v>
      </c>
      <c r="V94" s="37">
        <f t="shared" si="115"/>
        <v>1.5473684210526315</v>
      </c>
      <c r="W94" s="37">
        <f t="shared" si="115"/>
        <v>3.6105263157894734</v>
      </c>
    </row>
    <row r="95" spans="2:23" ht="16.5" customHeight="1" x14ac:dyDescent="0.3">
      <c r="B95" s="77"/>
      <c r="C95" s="3" t="s">
        <v>135</v>
      </c>
      <c r="D95" s="21" t="s">
        <v>276</v>
      </c>
      <c r="E95" s="42">
        <v>1</v>
      </c>
      <c r="F95" s="42">
        <v>1</v>
      </c>
      <c r="G95" s="42">
        <v>1</v>
      </c>
      <c r="H95" s="42">
        <v>1</v>
      </c>
      <c r="I95" s="42">
        <v>1</v>
      </c>
      <c r="J95" s="42">
        <v>1</v>
      </c>
      <c r="K95" s="42">
        <v>1</v>
      </c>
      <c r="L95" s="52">
        <v>1</v>
      </c>
      <c r="M95" s="50">
        <f>KPI指标及权重设计表!F95</f>
        <v>1</v>
      </c>
      <c r="N95" s="7">
        <f>KPI指标及权重设计表!G95</f>
        <v>0.1</v>
      </c>
      <c r="O95" s="16" t="s">
        <v>62</v>
      </c>
      <c r="P95" s="37">
        <f>E95/$M$95*100*0.7*$N$95</f>
        <v>7</v>
      </c>
      <c r="Q95" s="37">
        <f t="shared" ref="Q95:W95" si="116">F95/$M$95*100*0.7*$N$95</f>
        <v>7</v>
      </c>
      <c r="R95" s="37">
        <f t="shared" si="116"/>
        <v>7</v>
      </c>
      <c r="S95" s="37">
        <f t="shared" si="116"/>
        <v>7</v>
      </c>
      <c r="T95" s="37">
        <f t="shared" si="116"/>
        <v>7</v>
      </c>
      <c r="U95" s="37">
        <f t="shared" si="116"/>
        <v>7</v>
      </c>
      <c r="V95" s="37">
        <f t="shared" si="116"/>
        <v>7</v>
      </c>
      <c r="W95" s="37">
        <f t="shared" si="116"/>
        <v>7</v>
      </c>
    </row>
    <row r="96" spans="2:23" ht="16.5" customHeight="1" x14ac:dyDescent="0.3">
      <c r="B96" s="77"/>
      <c r="C96" s="3" t="s">
        <v>136</v>
      </c>
      <c r="D96" s="21" t="s">
        <v>63</v>
      </c>
      <c r="E96" s="7">
        <v>0.99</v>
      </c>
      <c r="F96" s="7">
        <v>1</v>
      </c>
      <c r="G96" s="7">
        <v>0.98</v>
      </c>
      <c r="H96" s="7">
        <v>0.88</v>
      </c>
      <c r="I96" s="7">
        <v>0.86</v>
      </c>
      <c r="J96" s="7">
        <v>0.98</v>
      </c>
      <c r="K96" s="7">
        <v>0.42</v>
      </c>
      <c r="L96" s="52">
        <v>0.98</v>
      </c>
      <c r="M96" s="50">
        <f>KPI指标及权重设计表!F96</f>
        <v>0.95</v>
      </c>
      <c r="N96" s="7">
        <f>KPI指标及权重设计表!G96</f>
        <v>0.1</v>
      </c>
      <c r="O96" s="33" t="s">
        <v>65</v>
      </c>
      <c r="P96" s="37">
        <f>E96/$M$96*100*0.7*$N$96</f>
        <v>7.2947368421052632</v>
      </c>
      <c r="Q96" s="37">
        <f t="shared" ref="Q96:W96" si="117">F96/$M$96*100*0.7*$N$96</f>
        <v>7.3684210526315788</v>
      </c>
      <c r="R96" s="37">
        <f t="shared" si="117"/>
        <v>7.2210526315789467</v>
      </c>
      <c r="S96" s="37">
        <f t="shared" si="117"/>
        <v>6.4842105263157892</v>
      </c>
      <c r="T96" s="37">
        <f t="shared" si="117"/>
        <v>6.3368421052631581</v>
      </c>
      <c r="U96" s="37">
        <f t="shared" si="117"/>
        <v>7.2210526315789467</v>
      </c>
      <c r="V96" s="37">
        <f t="shared" si="117"/>
        <v>3.094736842105263</v>
      </c>
      <c r="W96" s="37">
        <f t="shared" si="117"/>
        <v>7.2210526315789467</v>
      </c>
    </row>
    <row r="97" spans="2:23" ht="17.25" customHeight="1" x14ac:dyDescent="0.3">
      <c r="B97" s="77"/>
      <c r="C97" s="3" t="s">
        <v>137</v>
      </c>
      <c r="D97" s="4" t="s">
        <v>66</v>
      </c>
      <c r="E97" s="7">
        <v>0.98</v>
      </c>
      <c r="F97" s="7">
        <v>0.88</v>
      </c>
      <c r="G97" s="7">
        <v>0.82</v>
      </c>
      <c r="H97" s="7">
        <v>0.98</v>
      </c>
      <c r="I97" s="7">
        <v>1</v>
      </c>
      <c r="J97" s="7">
        <v>0.7</v>
      </c>
      <c r="K97" s="7">
        <v>0.8</v>
      </c>
      <c r="L97" s="52">
        <v>0.9</v>
      </c>
      <c r="M97" s="50">
        <f>KPI指标及权重设计表!F97</f>
        <v>0.95</v>
      </c>
      <c r="N97" s="7">
        <f>KPI指标及权重设计表!G97</f>
        <v>0.05</v>
      </c>
      <c r="O97" s="33" t="s">
        <v>313</v>
      </c>
      <c r="P97" s="37">
        <f>E97/$M$97*100*0.7*$N$97</f>
        <v>3.6105263157894734</v>
      </c>
      <c r="Q97" s="37">
        <f t="shared" ref="Q97:W97" si="118">F97/$M$97*100*0.7*$N$97</f>
        <v>3.2421052631578946</v>
      </c>
      <c r="R97" s="37">
        <f t="shared" si="118"/>
        <v>3.0210526315789479</v>
      </c>
      <c r="S97" s="37">
        <f t="shared" si="118"/>
        <v>3.6105263157894734</v>
      </c>
      <c r="T97" s="37">
        <f t="shared" si="118"/>
        <v>3.6842105263157894</v>
      </c>
      <c r="U97" s="37">
        <f t="shared" si="118"/>
        <v>2.5789473684210522</v>
      </c>
      <c r="V97" s="37">
        <f t="shared" si="118"/>
        <v>2.9473684210526319</v>
      </c>
      <c r="W97" s="37">
        <f t="shared" si="118"/>
        <v>3.3157894736842106</v>
      </c>
    </row>
    <row r="98" spans="2:23" x14ac:dyDescent="0.3">
      <c r="B98" s="77" t="s">
        <v>116</v>
      </c>
      <c r="C98" s="3" t="s">
        <v>138</v>
      </c>
      <c r="D98" s="4" t="s">
        <v>105</v>
      </c>
      <c r="E98" s="36">
        <v>1</v>
      </c>
      <c r="F98" s="36">
        <v>7</v>
      </c>
      <c r="G98" s="36">
        <v>0</v>
      </c>
      <c r="H98" s="36">
        <v>1</v>
      </c>
      <c r="I98" s="36">
        <v>2</v>
      </c>
      <c r="J98" s="36">
        <v>6</v>
      </c>
      <c r="K98" s="36">
        <v>8</v>
      </c>
      <c r="L98" s="57">
        <v>2</v>
      </c>
      <c r="M98" s="50">
        <f>KPI指标及权重设计表!F98</f>
        <v>2</v>
      </c>
      <c r="N98" s="7">
        <f>KPI指标及权重设计表!G98</f>
        <v>0.2</v>
      </c>
      <c r="O98" s="16" t="s">
        <v>166</v>
      </c>
      <c r="P98" s="37">
        <f>IF((E98-$M$98)&gt;0,0,100*0.2*$N$98)</f>
        <v>4</v>
      </c>
      <c r="Q98" s="37">
        <f t="shared" ref="Q98:W98" si="119">IF((F98-$M$98)&gt;0,0,100*0.2*$N$98)</f>
        <v>0</v>
      </c>
      <c r="R98" s="37">
        <f t="shared" si="119"/>
        <v>4</v>
      </c>
      <c r="S98" s="37">
        <f t="shared" si="119"/>
        <v>4</v>
      </c>
      <c r="T98" s="37">
        <f t="shared" si="119"/>
        <v>4</v>
      </c>
      <c r="U98" s="37">
        <f t="shared" si="119"/>
        <v>0</v>
      </c>
      <c r="V98" s="37">
        <f t="shared" si="119"/>
        <v>0</v>
      </c>
      <c r="W98" s="37">
        <f t="shared" si="119"/>
        <v>4</v>
      </c>
    </row>
    <row r="99" spans="2:23" x14ac:dyDescent="0.3">
      <c r="B99" s="77"/>
      <c r="C99" s="3" t="s">
        <v>139</v>
      </c>
      <c r="D99" s="21" t="s">
        <v>98</v>
      </c>
      <c r="E99" s="6">
        <v>8</v>
      </c>
      <c r="F99" s="6">
        <v>4</v>
      </c>
      <c r="G99" s="6">
        <v>6</v>
      </c>
      <c r="H99" s="6">
        <v>2</v>
      </c>
      <c r="I99" s="6">
        <v>5</v>
      </c>
      <c r="J99" s="6">
        <v>9</v>
      </c>
      <c r="K99" s="6">
        <v>10</v>
      </c>
      <c r="L99" s="51">
        <v>5</v>
      </c>
      <c r="M99" s="50">
        <f>KPI指标及权重设计表!F99</f>
        <v>7</v>
      </c>
      <c r="N99" s="7">
        <f>KPI指标及权重设计表!G99</f>
        <v>0.2</v>
      </c>
      <c r="O99" s="22" t="s">
        <v>159</v>
      </c>
      <c r="P99" s="37">
        <f>IF(E99&lt;=$M99,100*0.2*$N$99,100*0.2*$N$99*(1-(E99-$M$99)/$M$99))</f>
        <v>3.4285714285714288</v>
      </c>
      <c r="Q99" s="37">
        <f t="shared" ref="Q99:W99" si="120">IF(F99&lt;=$M99,100*0.2*$N$99,100*0.2*$N$99*(1-(F99-$M$99)/$M$99))</f>
        <v>4</v>
      </c>
      <c r="R99" s="37">
        <f t="shared" si="120"/>
        <v>4</v>
      </c>
      <c r="S99" s="37">
        <f t="shared" si="120"/>
        <v>4</v>
      </c>
      <c r="T99" s="37">
        <f t="shared" si="120"/>
        <v>4</v>
      </c>
      <c r="U99" s="37">
        <f t="shared" si="120"/>
        <v>2.8571428571428572</v>
      </c>
      <c r="V99" s="37">
        <f t="shared" si="120"/>
        <v>2.2857142857142856</v>
      </c>
      <c r="W99" s="37">
        <f t="shared" si="120"/>
        <v>4</v>
      </c>
    </row>
    <row r="100" spans="2:23" x14ac:dyDescent="0.3">
      <c r="B100" s="77"/>
      <c r="C100" s="3" t="s">
        <v>140</v>
      </c>
      <c r="D100" s="21" t="s">
        <v>99</v>
      </c>
      <c r="E100" s="7">
        <v>0.89</v>
      </c>
      <c r="F100" s="7">
        <v>0.92</v>
      </c>
      <c r="G100" s="7">
        <v>0.98</v>
      </c>
      <c r="H100" s="7">
        <v>0.88</v>
      </c>
      <c r="I100" s="7">
        <v>0.9</v>
      </c>
      <c r="J100" s="7">
        <v>0.88</v>
      </c>
      <c r="K100" s="7">
        <v>0.98</v>
      </c>
      <c r="L100" s="52">
        <v>0.56000000000000005</v>
      </c>
      <c r="M100" s="50">
        <f>KPI指标及权重设计表!F100</f>
        <v>0.98</v>
      </c>
      <c r="N100" s="7">
        <f>KPI指标及权重设计表!G100</f>
        <v>0.2</v>
      </c>
      <c r="O100" s="22" t="s">
        <v>102</v>
      </c>
      <c r="P100" s="37">
        <f>E100/$M$100*100*0.2*$N$100</f>
        <v>3.6326530612244903</v>
      </c>
      <c r="Q100" s="37">
        <f t="shared" ref="Q100:W100" si="121">F100/$M$100*100*0.2*$N$100</f>
        <v>3.7551020408163271</v>
      </c>
      <c r="R100" s="37">
        <f t="shared" si="121"/>
        <v>4</v>
      </c>
      <c r="S100" s="37">
        <f t="shared" si="121"/>
        <v>3.591836734693878</v>
      </c>
      <c r="T100" s="37">
        <f t="shared" si="121"/>
        <v>3.6734693877551026</v>
      </c>
      <c r="U100" s="37">
        <f t="shared" si="121"/>
        <v>3.591836734693878</v>
      </c>
      <c r="V100" s="37">
        <f t="shared" si="121"/>
        <v>4</v>
      </c>
      <c r="W100" s="37">
        <f t="shared" si="121"/>
        <v>2.285714285714286</v>
      </c>
    </row>
    <row r="101" spans="2:23" x14ac:dyDescent="0.3">
      <c r="B101" s="77"/>
      <c r="C101" s="3" t="s">
        <v>141</v>
      </c>
      <c r="D101" s="21" t="s">
        <v>128</v>
      </c>
      <c r="E101" s="7">
        <v>0.76</v>
      </c>
      <c r="F101" s="7">
        <v>0.82</v>
      </c>
      <c r="G101" s="7">
        <v>0.76</v>
      </c>
      <c r="H101" s="7">
        <v>0.9</v>
      </c>
      <c r="I101" s="7">
        <v>0.81</v>
      </c>
      <c r="J101" s="7">
        <v>0.66</v>
      </c>
      <c r="K101" s="7">
        <v>0.52</v>
      </c>
      <c r="L101" s="52">
        <v>0.9</v>
      </c>
      <c r="M101" s="50">
        <f>KPI指标及权重设计表!F101</f>
        <v>0.98</v>
      </c>
      <c r="N101" s="7">
        <f>KPI指标及权重设计表!G101</f>
        <v>0.2</v>
      </c>
      <c r="O101" s="22" t="s">
        <v>165</v>
      </c>
      <c r="P101" s="37">
        <f>E101/$M$101*100*0.2*$N$101</f>
        <v>3.1020408163265309</v>
      </c>
      <c r="Q101" s="37">
        <f t="shared" ref="Q101:W101" si="122">F101/$M$101*100*0.2*$N$101</f>
        <v>3.3469387755102042</v>
      </c>
      <c r="R101" s="37">
        <f t="shared" si="122"/>
        <v>3.1020408163265309</v>
      </c>
      <c r="S101" s="37">
        <f t="shared" si="122"/>
        <v>3.6734693877551026</v>
      </c>
      <c r="T101" s="37">
        <f t="shared" si="122"/>
        <v>3.3061224489795928</v>
      </c>
      <c r="U101" s="37">
        <f t="shared" si="122"/>
        <v>2.6938775510204085</v>
      </c>
      <c r="V101" s="37">
        <f t="shared" si="122"/>
        <v>2.1224489795918369</v>
      </c>
      <c r="W101" s="37">
        <f t="shared" si="122"/>
        <v>3.6734693877551026</v>
      </c>
    </row>
    <row r="102" spans="2:23" x14ac:dyDescent="0.3">
      <c r="B102" s="77"/>
      <c r="C102" s="3" t="s">
        <v>142</v>
      </c>
      <c r="D102" s="21" t="s">
        <v>101</v>
      </c>
      <c r="E102" s="7">
        <v>0.98</v>
      </c>
      <c r="F102" s="7">
        <v>0.88</v>
      </c>
      <c r="G102" s="7">
        <v>0.82</v>
      </c>
      <c r="H102" s="7">
        <v>0.98</v>
      </c>
      <c r="I102" s="7">
        <v>1</v>
      </c>
      <c r="J102" s="7">
        <v>0.7</v>
      </c>
      <c r="K102" s="7">
        <v>0.8</v>
      </c>
      <c r="L102" s="52">
        <v>0.9</v>
      </c>
      <c r="M102" s="50">
        <f>KPI指标及权重设计表!F102</f>
        <v>0.98</v>
      </c>
      <c r="N102" s="7">
        <f>KPI指标及权重设计表!G102</f>
        <v>0.2</v>
      </c>
      <c r="O102" s="16" t="s">
        <v>123</v>
      </c>
      <c r="P102" s="37">
        <f>E102/$M$102*100*0.2*$N$102</f>
        <v>4</v>
      </c>
      <c r="Q102" s="37">
        <f t="shared" ref="Q102:W102" si="123">F102/$M$102*100*0.2*$N$102</f>
        <v>3.591836734693878</v>
      </c>
      <c r="R102" s="37">
        <f t="shared" si="123"/>
        <v>3.3469387755102042</v>
      </c>
      <c r="S102" s="37">
        <f t="shared" si="123"/>
        <v>4</v>
      </c>
      <c r="T102" s="37">
        <f t="shared" si="123"/>
        <v>4.0816326530612255</v>
      </c>
      <c r="U102" s="37">
        <f t="shared" si="123"/>
        <v>2.8571428571428577</v>
      </c>
      <c r="V102" s="37">
        <f t="shared" si="123"/>
        <v>3.2653061224489797</v>
      </c>
      <c r="W102" s="37">
        <f t="shared" si="123"/>
        <v>3.6734693877551026</v>
      </c>
    </row>
    <row r="103" spans="2:23" x14ac:dyDescent="0.3">
      <c r="B103" s="77" t="s">
        <v>117</v>
      </c>
      <c r="C103" s="3" t="s">
        <v>143</v>
      </c>
      <c r="D103" s="21" t="s">
        <v>176</v>
      </c>
      <c r="E103" s="7">
        <v>0.9</v>
      </c>
      <c r="F103" s="7">
        <v>0.92</v>
      </c>
      <c r="G103" s="7">
        <v>0.88</v>
      </c>
      <c r="H103" s="7">
        <v>0.86</v>
      </c>
      <c r="I103" s="7">
        <v>0.96</v>
      </c>
      <c r="J103" s="7">
        <v>1</v>
      </c>
      <c r="K103" s="7">
        <v>0.9</v>
      </c>
      <c r="L103" s="52">
        <v>0.5</v>
      </c>
      <c r="M103" s="50">
        <f>KPI指标及权重设计表!F103</f>
        <v>0.9</v>
      </c>
      <c r="N103" s="7">
        <f>KPI指标及权重设计表!G103</f>
        <v>0.5</v>
      </c>
      <c r="O103" s="22" t="s">
        <v>165</v>
      </c>
      <c r="P103" s="37">
        <f>E103/$M$103*100*0.1*$N$103</f>
        <v>5</v>
      </c>
      <c r="Q103" s="37">
        <f t="shared" ref="Q103:W103" si="124">F103/$M$103*100*0.1*$N$103</f>
        <v>5.1111111111111107</v>
      </c>
      <c r="R103" s="37">
        <f t="shared" si="124"/>
        <v>4.8888888888888893</v>
      </c>
      <c r="S103" s="37">
        <f t="shared" si="124"/>
        <v>4.7777777777777777</v>
      </c>
      <c r="T103" s="37">
        <f t="shared" si="124"/>
        <v>5.3333333333333339</v>
      </c>
      <c r="U103" s="37">
        <f t="shared" si="124"/>
        <v>5.5555555555555562</v>
      </c>
      <c r="V103" s="37">
        <f t="shared" si="124"/>
        <v>5</v>
      </c>
      <c r="W103" s="37">
        <f t="shared" si="124"/>
        <v>2.7777777777777781</v>
      </c>
    </row>
    <row r="104" spans="2:23" x14ac:dyDescent="0.3">
      <c r="B104" s="77"/>
      <c r="C104" s="3" t="s">
        <v>144</v>
      </c>
      <c r="D104" s="4" t="s">
        <v>18</v>
      </c>
      <c r="E104" s="7">
        <v>0.75</v>
      </c>
      <c r="F104" s="7">
        <v>0.8</v>
      </c>
      <c r="G104" s="7">
        <v>0.82</v>
      </c>
      <c r="H104" s="7">
        <v>0.98</v>
      </c>
      <c r="I104" s="7">
        <v>0.8</v>
      </c>
      <c r="J104" s="7">
        <v>0.7</v>
      </c>
      <c r="K104" s="7">
        <v>0.8</v>
      </c>
      <c r="L104" s="52">
        <v>0.9</v>
      </c>
      <c r="M104" s="50">
        <f>KPI指标及权重设计表!F104</f>
        <v>0.9</v>
      </c>
      <c r="N104" s="7">
        <f>KPI指标及权重设计表!G104</f>
        <v>0.5</v>
      </c>
      <c r="O104" s="16" t="s">
        <v>20</v>
      </c>
      <c r="P104" s="37">
        <f>E104/$M$104*100*0.1*$N$104</f>
        <v>4.166666666666667</v>
      </c>
      <c r="Q104" s="37">
        <f t="shared" ref="Q104:W104" si="125">F104/$M$104*100*0.1*$N$104</f>
        <v>4.4444444444444455</v>
      </c>
      <c r="R104" s="37">
        <f t="shared" si="125"/>
        <v>4.5555555555555554</v>
      </c>
      <c r="S104" s="37">
        <f t="shared" si="125"/>
        <v>5.4444444444444446</v>
      </c>
      <c r="T104" s="37">
        <f t="shared" si="125"/>
        <v>4.4444444444444455</v>
      </c>
      <c r="U104" s="37">
        <f t="shared" si="125"/>
        <v>3.8888888888888888</v>
      </c>
      <c r="V104" s="37">
        <f t="shared" si="125"/>
        <v>4.4444444444444455</v>
      </c>
      <c r="W104" s="37">
        <f t="shared" si="125"/>
        <v>5</v>
      </c>
    </row>
    <row r="105" spans="2:23" x14ac:dyDescent="0.3">
      <c r="B105" s="77" t="s">
        <v>118</v>
      </c>
      <c r="C105" s="3" t="s">
        <v>145</v>
      </c>
      <c r="D105" s="21" t="s">
        <v>161</v>
      </c>
      <c r="E105" s="24">
        <v>0</v>
      </c>
      <c r="F105" s="24">
        <v>0</v>
      </c>
      <c r="G105" s="24">
        <v>0</v>
      </c>
      <c r="H105" s="24">
        <v>0</v>
      </c>
      <c r="I105" s="24">
        <v>0</v>
      </c>
      <c r="J105" s="24">
        <v>0</v>
      </c>
      <c r="K105" s="24">
        <v>1</v>
      </c>
      <c r="L105" s="53">
        <v>0</v>
      </c>
      <c r="M105" s="50">
        <f>KPI指标及权重设计表!F105</f>
        <v>0</v>
      </c>
      <c r="N105" s="7">
        <f>KPI指标及权重设计表!G105</f>
        <v>0</v>
      </c>
      <c r="O105" s="16" t="s">
        <v>174</v>
      </c>
      <c r="P105" s="37">
        <f>2*E105</f>
        <v>0</v>
      </c>
      <c r="Q105" s="37">
        <f t="shared" ref="Q105" si="126">2*F105</f>
        <v>0</v>
      </c>
      <c r="R105" s="37">
        <f t="shared" ref="R105" si="127">2*G105</f>
        <v>0</v>
      </c>
      <c r="S105" s="37">
        <f t="shared" ref="S105" si="128">2*H105</f>
        <v>0</v>
      </c>
      <c r="T105" s="37">
        <f t="shared" ref="T105" si="129">2*I105</f>
        <v>0</v>
      </c>
      <c r="U105" s="37">
        <f t="shared" ref="U105" si="130">2*J105</f>
        <v>0</v>
      </c>
      <c r="V105" s="37">
        <f t="shared" ref="V105" si="131">2*K105</f>
        <v>2</v>
      </c>
      <c r="W105" s="37">
        <f t="shared" ref="W105" si="132">2*L105</f>
        <v>0</v>
      </c>
    </row>
    <row r="106" spans="2:23" x14ac:dyDescent="0.3">
      <c r="B106" s="77"/>
      <c r="C106" s="3" t="s">
        <v>146</v>
      </c>
      <c r="D106" s="21" t="s">
        <v>106</v>
      </c>
      <c r="E106" s="24">
        <v>0</v>
      </c>
      <c r="F106" s="24">
        <v>0</v>
      </c>
      <c r="G106" s="24">
        <v>0</v>
      </c>
      <c r="H106" s="24">
        <v>2</v>
      </c>
      <c r="I106" s="24">
        <v>0</v>
      </c>
      <c r="J106" s="24">
        <v>0</v>
      </c>
      <c r="K106" s="24">
        <v>0</v>
      </c>
      <c r="L106" s="53">
        <v>0</v>
      </c>
      <c r="M106" s="50">
        <f>KPI指标及权重设计表!F106</f>
        <v>0</v>
      </c>
      <c r="N106" s="7">
        <f>KPI指标及权重设计表!G106</f>
        <v>0</v>
      </c>
      <c r="O106" s="22" t="s">
        <v>312</v>
      </c>
      <c r="P106" s="37">
        <f>5*E106</f>
        <v>0</v>
      </c>
      <c r="Q106" s="37">
        <f t="shared" ref="Q106" si="133">5*F106</f>
        <v>0</v>
      </c>
      <c r="R106" s="37">
        <f t="shared" ref="R106" si="134">5*G106</f>
        <v>0</v>
      </c>
      <c r="S106" s="37">
        <f t="shared" ref="S106" si="135">5*H106</f>
        <v>10</v>
      </c>
      <c r="T106" s="37">
        <f t="shared" ref="T106" si="136">5*I106</f>
        <v>0</v>
      </c>
      <c r="U106" s="37">
        <f t="shared" ref="U106" si="137">5*J106</f>
        <v>0</v>
      </c>
      <c r="V106" s="37">
        <f t="shared" ref="V106" si="138">5*K106</f>
        <v>0</v>
      </c>
      <c r="W106" s="37">
        <f t="shared" ref="W106" si="139">5*L106</f>
        <v>0</v>
      </c>
    </row>
    <row r="107" spans="2:23" x14ac:dyDescent="0.3">
      <c r="B107" s="77"/>
      <c r="C107" s="3" t="s">
        <v>147</v>
      </c>
      <c r="D107" s="21" t="s">
        <v>108</v>
      </c>
      <c r="E107" s="24">
        <v>0</v>
      </c>
      <c r="F107" s="24">
        <v>0</v>
      </c>
      <c r="G107" s="24">
        <v>0</v>
      </c>
      <c r="H107" s="24">
        <v>0</v>
      </c>
      <c r="I107" s="24">
        <v>0</v>
      </c>
      <c r="J107" s="24">
        <v>0</v>
      </c>
      <c r="K107" s="24">
        <v>0</v>
      </c>
      <c r="L107" s="53">
        <v>0</v>
      </c>
      <c r="M107" s="50">
        <f>KPI指标及权重设计表!F107</f>
        <v>0</v>
      </c>
      <c r="N107" s="7">
        <f>KPI指标及权重设计表!G107</f>
        <v>0</v>
      </c>
      <c r="O107" s="22" t="s">
        <v>172</v>
      </c>
      <c r="P107" s="37">
        <f>2*E107</f>
        <v>0</v>
      </c>
      <c r="Q107" s="37">
        <f t="shared" ref="Q107" si="140">2*F107</f>
        <v>0</v>
      </c>
      <c r="R107" s="37">
        <f t="shared" ref="R107" si="141">2*G107</f>
        <v>0</v>
      </c>
      <c r="S107" s="37">
        <f t="shared" ref="S107" si="142">2*H107</f>
        <v>0</v>
      </c>
      <c r="T107" s="37">
        <f t="shared" ref="T107" si="143">2*I107</f>
        <v>0</v>
      </c>
      <c r="U107" s="37">
        <f t="shared" ref="U107" si="144">2*J107</f>
        <v>0</v>
      </c>
      <c r="V107" s="37">
        <f t="shared" ref="V107" si="145">2*K107</f>
        <v>0</v>
      </c>
      <c r="W107" s="37">
        <f t="shared" ref="W107" si="146">2*L107</f>
        <v>0</v>
      </c>
    </row>
    <row r="108" spans="2:23" x14ac:dyDescent="0.3">
      <c r="B108" s="77"/>
      <c r="C108" s="3" t="s">
        <v>148</v>
      </c>
      <c r="D108" s="21" t="s">
        <v>109</v>
      </c>
      <c r="E108" s="24">
        <v>0</v>
      </c>
      <c r="F108" s="24">
        <v>0</v>
      </c>
      <c r="G108" s="24">
        <v>0</v>
      </c>
      <c r="H108" s="24">
        <v>0</v>
      </c>
      <c r="I108" s="24">
        <v>0</v>
      </c>
      <c r="J108" s="24">
        <v>0</v>
      </c>
      <c r="K108" s="24">
        <v>0</v>
      </c>
      <c r="L108" s="53">
        <v>0</v>
      </c>
      <c r="M108" s="50">
        <f>KPI指标及权重设计表!F108</f>
        <v>0</v>
      </c>
      <c r="N108" s="7">
        <f>KPI指标及权重设计表!G108</f>
        <v>0</v>
      </c>
      <c r="O108" s="16" t="s">
        <v>171</v>
      </c>
      <c r="P108" s="37">
        <f>-5*E108</f>
        <v>0</v>
      </c>
      <c r="Q108" s="37">
        <f t="shared" ref="Q108" si="147">-5*F108</f>
        <v>0</v>
      </c>
      <c r="R108" s="37">
        <f t="shared" ref="R108" si="148">-5*G108</f>
        <v>0</v>
      </c>
      <c r="S108" s="37">
        <f t="shared" ref="S108" si="149">-5*H108</f>
        <v>0</v>
      </c>
      <c r="T108" s="37">
        <f t="shared" ref="T108" si="150">-5*I108</f>
        <v>0</v>
      </c>
      <c r="U108" s="37">
        <f t="shared" ref="U108" si="151">-5*J108</f>
        <v>0</v>
      </c>
      <c r="V108" s="37">
        <f t="shared" ref="V108" si="152">-5*K108</f>
        <v>0</v>
      </c>
      <c r="W108" s="37">
        <f t="shared" ref="W108" si="153">-5*L108</f>
        <v>0</v>
      </c>
    </row>
    <row r="109" spans="2:23" x14ac:dyDescent="0.3">
      <c r="B109" s="77"/>
      <c r="C109" s="3" t="s">
        <v>149</v>
      </c>
      <c r="D109" s="21" t="s">
        <v>110</v>
      </c>
      <c r="E109" s="24">
        <v>0</v>
      </c>
      <c r="F109" s="24">
        <v>1</v>
      </c>
      <c r="G109" s="24">
        <v>0</v>
      </c>
      <c r="H109" s="24">
        <v>0</v>
      </c>
      <c r="I109" s="24">
        <v>0</v>
      </c>
      <c r="J109" s="24">
        <v>0</v>
      </c>
      <c r="K109" s="24">
        <v>0</v>
      </c>
      <c r="L109" s="53">
        <v>0</v>
      </c>
      <c r="M109" s="50">
        <f>KPI指标及权重设计表!F109</f>
        <v>0</v>
      </c>
      <c r="N109" s="7">
        <f>KPI指标及权重设计表!G109</f>
        <v>0</v>
      </c>
      <c r="O109" s="22" t="s">
        <v>168</v>
      </c>
      <c r="P109" s="37">
        <f>-2*E109</f>
        <v>0</v>
      </c>
      <c r="Q109" s="37">
        <f t="shared" ref="Q109" si="154">-2*F109</f>
        <v>-2</v>
      </c>
      <c r="R109" s="37">
        <f t="shared" ref="R109" si="155">-2*G109</f>
        <v>0</v>
      </c>
      <c r="S109" s="37">
        <f t="shared" ref="S109" si="156">-2*H109</f>
        <v>0</v>
      </c>
      <c r="T109" s="37">
        <f t="shared" ref="T109" si="157">-2*I109</f>
        <v>0</v>
      </c>
      <c r="U109" s="37">
        <f t="shared" ref="U109" si="158">-2*J109</f>
        <v>0</v>
      </c>
      <c r="V109" s="37">
        <f t="shared" ref="V109" si="159">-2*K109</f>
        <v>0</v>
      </c>
      <c r="W109" s="37">
        <f t="shared" ref="W109" si="160">-2*L109</f>
        <v>0</v>
      </c>
    </row>
    <row r="110" spans="2:23" x14ac:dyDescent="0.3">
      <c r="B110" s="77"/>
      <c r="C110" s="3" t="s">
        <v>150</v>
      </c>
      <c r="D110" s="21" t="s">
        <v>112</v>
      </c>
      <c r="E110" s="24">
        <v>0</v>
      </c>
      <c r="F110" s="24">
        <v>0</v>
      </c>
      <c r="G110" s="24">
        <v>0</v>
      </c>
      <c r="H110" s="24">
        <v>0</v>
      </c>
      <c r="I110" s="24">
        <v>0</v>
      </c>
      <c r="J110" s="24">
        <v>0</v>
      </c>
      <c r="K110" s="24">
        <v>0</v>
      </c>
      <c r="L110" s="53">
        <v>0</v>
      </c>
      <c r="M110" s="50">
        <f>KPI指标及权重设计表!F110</f>
        <v>0</v>
      </c>
      <c r="N110" s="7">
        <f>KPI指标及权重设计表!G110</f>
        <v>0</v>
      </c>
      <c r="O110" s="22" t="s">
        <v>113</v>
      </c>
      <c r="P110" s="37">
        <f>-5*E110</f>
        <v>0</v>
      </c>
      <c r="Q110" s="37">
        <f t="shared" ref="Q110" si="161">-5*F110</f>
        <v>0</v>
      </c>
      <c r="R110" s="37">
        <f t="shared" ref="R110" si="162">-5*G110</f>
        <v>0</v>
      </c>
      <c r="S110" s="37">
        <f t="shared" ref="S110" si="163">-5*H110</f>
        <v>0</v>
      </c>
      <c r="T110" s="37">
        <f t="shared" ref="T110" si="164">-5*I110</f>
        <v>0</v>
      </c>
      <c r="U110" s="37">
        <f t="shared" ref="U110" si="165">-5*J110</f>
        <v>0</v>
      </c>
      <c r="V110" s="37">
        <f t="shared" ref="V110" si="166">-5*K110</f>
        <v>0</v>
      </c>
      <c r="W110" s="37">
        <f t="shared" ref="W110" si="167">-5*L110</f>
        <v>0</v>
      </c>
    </row>
    <row r="111" spans="2:23" x14ac:dyDescent="0.3">
      <c r="B111" s="77"/>
      <c r="C111" s="3" t="s">
        <v>151</v>
      </c>
      <c r="D111" s="21" t="s">
        <v>119</v>
      </c>
      <c r="E111" s="24">
        <v>0</v>
      </c>
      <c r="F111" s="24">
        <v>0</v>
      </c>
      <c r="G111" s="24">
        <v>0</v>
      </c>
      <c r="H111" s="24">
        <v>0</v>
      </c>
      <c r="I111" s="24">
        <v>1</v>
      </c>
      <c r="J111" s="24">
        <v>0</v>
      </c>
      <c r="K111" s="24">
        <v>0</v>
      </c>
      <c r="L111" s="53">
        <v>0</v>
      </c>
      <c r="M111" s="50">
        <f>KPI指标及权重设计表!F111</f>
        <v>0</v>
      </c>
      <c r="N111" s="7">
        <f>KPI指标及权重设计表!G111</f>
        <v>0</v>
      </c>
      <c r="O111" s="22" t="s">
        <v>164</v>
      </c>
      <c r="P111" s="37">
        <f>-2*E111</f>
        <v>0</v>
      </c>
      <c r="Q111" s="37">
        <f t="shared" ref="Q111" si="168">-2*F111</f>
        <v>0</v>
      </c>
      <c r="R111" s="37">
        <f t="shared" ref="R111" si="169">-2*G111</f>
        <v>0</v>
      </c>
      <c r="S111" s="37">
        <f t="shared" ref="S111" si="170">-2*H111</f>
        <v>0</v>
      </c>
      <c r="T111" s="37">
        <f t="shared" ref="T111" si="171">-2*I111</f>
        <v>-2</v>
      </c>
      <c r="U111" s="37">
        <f t="shared" ref="U111" si="172">-2*J111</f>
        <v>0</v>
      </c>
      <c r="V111" s="37">
        <f t="shared" ref="V111" si="173">-2*K111</f>
        <v>0</v>
      </c>
      <c r="W111" s="37">
        <f t="shared" ref="W111" si="174">-2*L111</f>
        <v>0</v>
      </c>
    </row>
    <row r="112" spans="2:23" ht="18.75" thickBot="1" x14ac:dyDescent="0.35">
      <c r="B112" s="19" t="s">
        <v>154</v>
      </c>
      <c r="C112" s="8" t="s">
        <v>155</v>
      </c>
      <c r="D112" s="23" t="s">
        <v>157</v>
      </c>
      <c r="E112" s="43">
        <v>100</v>
      </c>
      <c r="F112" s="9">
        <v>75</v>
      </c>
      <c r="G112" s="9">
        <v>88</v>
      </c>
      <c r="H112" s="9">
        <v>38</v>
      </c>
      <c r="I112" s="9">
        <v>99</v>
      </c>
      <c r="J112" s="9">
        <v>81</v>
      </c>
      <c r="K112" s="9">
        <v>86</v>
      </c>
      <c r="L112" s="58">
        <v>90</v>
      </c>
      <c r="M112" s="50">
        <f>KPI指标及权重设计表!F112</f>
        <v>80</v>
      </c>
      <c r="N112" s="7">
        <f>KPI指标及权重设计表!G112</f>
        <v>0</v>
      </c>
      <c r="O112" s="17" t="s">
        <v>158</v>
      </c>
      <c r="P112" s="37">
        <f>IF((E112-$M$84)/(100-$M$84)*10&lt;=-10,-10,(E112-$M$84)/(100-$M$84)*10)</f>
        <v>10</v>
      </c>
      <c r="Q112" s="37">
        <f t="shared" ref="Q112" si="175">IF((F112-$M$84)/(100-$M$84)*10&lt;=-10,-10,(F112-$M$84)/(100-$M$84)*10)</f>
        <v>7.5</v>
      </c>
      <c r="R112" s="37">
        <f t="shared" ref="R112" si="176">IF((G112-$M$84)/(100-$M$84)*10&lt;=-10,-10,(G112-$M$84)/(100-$M$84)*10)</f>
        <v>8.8000000000000007</v>
      </c>
      <c r="S112" s="37">
        <f t="shared" ref="S112" si="177">IF((H112-$M$84)/(100-$M$84)*10&lt;=-10,-10,(H112-$M$84)/(100-$M$84)*10)</f>
        <v>3.8</v>
      </c>
      <c r="T112" s="37">
        <f t="shared" ref="T112" si="178">IF((I112-$M$84)/(100-$M$84)*10&lt;=-10,-10,(I112-$M$84)/(100-$M$84)*10)</f>
        <v>9.9</v>
      </c>
      <c r="U112" s="37">
        <f t="shared" ref="U112" si="179">IF((J112-$M$84)/(100-$M$84)*10&lt;=-10,-10,(J112-$M$84)/(100-$M$84)*10)</f>
        <v>8.1000000000000014</v>
      </c>
      <c r="V112" s="37">
        <f t="shared" ref="V112" si="180">IF((K112-$M$84)/(100-$M$84)*10&lt;=-10,-10,(K112-$M$84)/(100-$M$84)*10)</f>
        <v>8.6</v>
      </c>
      <c r="W112" s="37">
        <f t="shared" ref="W112" si="181">IF((L112-$M$84)/(100-$M$84)*10&lt;=-10,-10,(L112-$M$84)/(100-$M$84)*10)</f>
        <v>9</v>
      </c>
    </row>
    <row r="113" spans="2:23" ht="18.75" thickTop="1" x14ac:dyDescent="0.3">
      <c r="B113" s="26"/>
      <c r="C113" s="12"/>
      <c r="D113" s="27"/>
      <c r="E113" s="28"/>
      <c r="F113" s="28"/>
      <c r="G113" s="28"/>
      <c r="H113" s="28"/>
      <c r="I113" s="28"/>
      <c r="J113" s="28"/>
      <c r="K113" s="28"/>
      <c r="L113" s="28"/>
      <c r="M113" s="6"/>
      <c r="N113" s="7"/>
      <c r="O113" s="13"/>
      <c r="P113" s="37">
        <f>SUM(P89:P112)</f>
        <v>97.400608664518458</v>
      </c>
      <c r="Q113" s="37">
        <f t="shared" ref="Q113" si="182">SUM(Q89:Q112)</f>
        <v>92.044921828380481</v>
      </c>
      <c r="R113" s="37">
        <f t="shared" ref="R113" si="183">SUM(R89:R112)</f>
        <v>97.372371404702236</v>
      </c>
      <c r="S113" s="37">
        <f t="shared" ref="S113" si="184">SUM(S89:S112)</f>
        <v>102.60331781835542</v>
      </c>
      <c r="T113" s="37">
        <f t="shared" ref="T113" si="185">SUM(T89:T112)</f>
        <v>101.61343835779927</v>
      </c>
      <c r="U113" s="37">
        <f t="shared" ref="U113" si="186">SUM(U89:U112)</f>
        <v>81.440685045948186</v>
      </c>
      <c r="V113" s="37">
        <f t="shared" ref="V113" si="187">SUM(V89:V112)</f>
        <v>78.654755937462696</v>
      </c>
      <c r="W113" s="37">
        <f t="shared" ref="W113" si="188">SUM(W89:W112)</f>
        <v>97.349528583363181</v>
      </c>
    </row>
    <row r="114" spans="2:23" ht="24.75" x14ac:dyDescent="0.3">
      <c r="B114" s="78" t="s">
        <v>281</v>
      </c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50"/>
      <c r="N114" s="7"/>
    </row>
    <row r="115" spans="2:23" ht="17.25" thickBot="1" x14ac:dyDescent="0.35">
      <c r="B115" s="79" t="s">
        <v>175</v>
      </c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6"/>
      <c r="N115" s="7"/>
    </row>
    <row r="116" spans="2:23" ht="17.25" thickTop="1" x14ac:dyDescent="0.3">
      <c r="B116" s="1" t="s">
        <v>0</v>
      </c>
      <c r="C116" s="2" t="s">
        <v>1</v>
      </c>
      <c r="D116" s="2" t="s">
        <v>95</v>
      </c>
      <c r="E116" s="41" t="s">
        <v>265</v>
      </c>
      <c r="F116" s="41" t="s">
        <v>266</v>
      </c>
      <c r="G116" s="41" t="s">
        <v>267</v>
      </c>
      <c r="H116" s="41" t="s">
        <v>268</v>
      </c>
      <c r="I116" s="41" t="s">
        <v>269</v>
      </c>
      <c r="J116" s="41" t="s">
        <v>270</v>
      </c>
      <c r="K116" s="41" t="s">
        <v>271</v>
      </c>
      <c r="L116" s="15" t="s">
        <v>272</v>
      </c>
      <c r="M116" s="50" t="str">
        <f>KPI指标及权重设计表!F116</f>
        <v>考核标准</v>
      </c>
      <c r="N116" s="7" t="str">
        <f>KPI指标及权重设计表!G116</f>
        <v>权重</v>
      </c>
      <c r="O116" s="15" t="s">
        <v>97</v>
      </c>
      <c r="P116" s="40" t="s">
        <v>265</v>
      </c>
      <c r="Q116" s="40" t="s">
        <v>266</v>
      </c>
      <c r="R116" s="40" t="s">
        <v>267</v>
      </c>
      <c r="S116" s="40" t="s">
        <v>268</v>
      </c>
      <c r="T116" s="40" t="s">
        <v>269</v>
      </c>
      <c r="U116" s="40" t="s">
        <v>270</v>
      </c>
      <c r="V116" s="40" t="s">
        <v>271</v>
      </c>
      <c r="W116" s="40" t="s">
        <v>272</v>
      </c>
    </row>
    <row r="117" spans="2:23" ht="16.5" customHeight="1" x14ac:dyDescent="0.3">
      <c r="B117" s="77" t="s">
        <v>208</v>
      </c>
      <c r="C117" s="3" t="s">
        <v>129</v>
      </c>
      <c r="D117" s="4" t="s">
        <v>69</v>
      </c>
      <c r="E117" s="7">
        <v>0.95</v>
      </c>
      <c r="F117" s="7">
        <v>0.8</v>
      </c>
      <c r="G117" s="7">
        <v>0.82</v>
      </c>
      <c r="H117" s="7">
        <v>0.98</v>
      </c>
      <c r="I117" s="7">
        <v>0.8</v>
      </c>
      <c r="J117" s="7">
        <v>0.7</v>
      </c>
      <c r="K117" s="7">
        <v>0.8</v>
      </c>
      <c r="L117" s="52">
        <v>0.9</v>
      </c>
      <c r="M117" s="50">
        <f>KPI指标及权重设计表!F117</f>
        <v>0.99</v>
      </c>
      <c r="N117" s="7">
        <f>KPI指标及权重设计表!G117</f>
        <v>0.2</v>
      </c>
      <c r="O117" s="29" t="s">
        <v>71</v>
      </c>
      <c r="P117" s="37">
        <f>E117/$M$117*100*0.7*$N$117</f>
        <v>13.434343434343432</v>
      </c>
      <c r="Q117" s="37">
        <f t="shared" ref="Q117:W117" si="189">F117/$M$117*100*0.7*$N$117</f>
        <v>11.313131313131315</v>
      </c>
      <c r="R117" s="37">
        <f t="shared" si="189"/>
        <v>11.595959595959595</v>
      </c>
      <c r="S117" s="37">
        <f t="shared" si="189"/>
        <v>13.858585858585858</v>
      </c>
      <c r="T117" s="37">
        <f t="shared" si="189"/>
        <v>11.313131313131315</v>
      </c>
      <c r="U117" s="37">
        <f t="shared" si="189"/>
        <v>9.8989898989898997</v>
      </c>
      <c r="V117" s="37">
        <f t="shared" si="189"/>
        <v>11.313131313131315</v>
      </c>
      <c r="W117" s="37">
        <f t="shared" si="189"/>
        <v>12.727272727272728</v>
      </c>
    </row>
    <row r="118" spans="2:23" ht="16.5" customHeight="1" x14ac:dyDescent="0.3">
      <c r="B118" s="77"/>
      <c r="C118" s="3" t="s">
        <v>130</v>
      </c>
      <c r="D118" s="4" t="s">
        <v>72</v>
      </c>
      <c r="E118" s="7">
        <v>0.65</v>
      </c>
      <c r="F118" s="7">
        <v>0.82</v>
      </c>
      <c r="G118" s="7">
        <v>0.76</v>
      </c>
      <c r="H118" s="7">
        <v>0.7</v>
      </c>
      <c r="I118" s="7">
        <v>0.81</v>
      </c>
      <c r="J118" s="7">
        <v>0.66</v>
      </c>
      <c r="K118" s="7">
        <v>0.52</v>
      </c>
      <c r="L118" s="52">
        <v>0.88</v>
      </c>
      <c r="M118" s="50">
        <f>KPI指标及权重设计表!F118</f>
        <v>0.97</v>
      </c>
      <c r="N118" s="7">
        <f>KPI指标及权重设计表!G118</f>
        <v>0.1</v>
      </c>
      <c r="O118" s="29" t="s">
        <v>74</v>
      </c>
      <c r="P118" s="37">
        <f>E118/$M$118*100*0.7*$N$118</f>
        <v>4.6907216494845363</v>
      </c>
      <c r="Q118" s="37">
        <f t="shared" ref="Q118:W118" si="190">F118/$M$118*100*0.7*$N$118</f>
        <v>5.9175257731958766</v>
      </c>
      <c r="R118" s="37">
        <f t="shared" si="190"/>
        <v>5.4845360824742277</v>
      </c>
      <c r="S118" s="37">
        <f t="shared" si="190"/>
        <v>5.0515463917525771</v>
      </c>
      <c r="T118" s="37">
        <f t="shared" si="190"/>
        <v>5.8453608247422686</v>
      </c>
      <c r="U118" s="37">
        <f t="shared" si="190"/>
        <v>4.7628865979381443</v>
      </c>
      <c r="V118" s="37">
        <f t="shared" si="190"/>
        <v>3.7525773195876293</v>
      </c>
      <c r="W118" s="37">
        <f t="shared" si="190"/>
        <v>6.3505154639175263</v>
      </c>
    </row>
    <row r="119" spans="2:23" x14ac:dyDescent="0.3">
      <c r="B119" s="77"/>
      <c r="C119" s="3" t="s">
        <v>131</v>
      </c>
      <c r="D119" s="4" t="s">
        <v>75</v>
      </c>
      <c r="E119" s="7">
        <v>0.01</v>
      </c>
      <c r="F119" s="7">
        <v>0.01</v>
      </c>
      <c r="G119" s="7">
        <v>0.01</v>
      </c>
      <c r="H119" s="7">
        <v>0</v>
      </c>
      <c r="I119" s="7">
        <v>0.01</v>
      </c>
      <c r="J119" s="7">
        <v>0</v>
      </c>
      <c r="K119" s="7">
        <v>0</v>
      </c>
      <c r="L119" s="52">
        <v>0.01</v>
      </c>
      <c r="M119" s="50">
        <f>KPI指标及权重设计表!F119</f>
        <v>0.98</v>
      </c>
      <c r="N119" s="7">
        <f>KPI指标及权重设计表!G119</f>
        <v>0.1</v>
      </c>
      <c r="O119" s="29" t="s">
        <v>76</v>
      </c>
      <c r="P119" s="37">
        <f>E119/$M$119*100*0.7*$N$119</f>
        <v>7.1428571428571438E-2</v>
      </c>
      <c r="Q119" s="37">
        <f t="shared" ref="Q119:W119" si="191">F119/$M$119*100*0.7*$N$119</f>
        <v>7.1428571428571438E-2</v>
      </c>
      <c r="R119" s="37">
        <f t="shared" si="191"/>
        <v>7.1428571428571438E-2</v>
      </c>
      <c r="S119" s="37">
        <f t="shared" si="191"/>
        <v>0</v>
      </c>
      <c r="T119" s="37">
        <f t="shared" si="191"/>
        <v>7.1428571428571438E-2</v>
      </c>
      <c r="U119" s="37">
        <f t="shared" si="191"/>
        <v>0</v>
      </c>
      <c r="V119" s="37">
        <f t="shared" si="191"/>
        <v>0</v>
      </c>
      <c r="W119" s="37">
        <f t="shared" si="191"/>
        <v>7.1428571428571438E-2</v>
      </c>
    </row>
    <row r="120" spans="2:23" x14ac:dyDescent="0.3">
      <c r="B120" s="77"/>
      <c r="C120" s="3" t="s">
        <v>132</v>
      </c>
      <c r="D120" s="4" t="s">
        <v>77</v>
      </c>
      <c r="E120" s="7">
        <v>0.14000000000000001</v>
      </c>
      <c r="F120" s="7">
        <v>0.01</v>
      </c>
      <c r="G120" s="7">
        <v>0</v>
      </c>
      <c r="H120" s="7">
        <v>0.01</v>
      </c>
      <c r="I120" s="7">
        <v>0.02</v>
      </c>
      <c r="J120" s="7">
        <v>7.0000000000000007E-2</v>
      </c>
      <c r="K120" s="7">
        <v>0</v>
      </c>
      <c r="L120" s="52">
        <v>0.1</v>
      </c>
      <c r="M120" s="50">
        <f>KPI指标及权重设计表!F120</f>
        <v>7.0000000000000007E-2</v>
      </c>
      <c r="N120" s="7">
        <f>KPI指标及权重设计表!G120</f>
        <v>0.1</v>
      </c>
      <c r="O120" s="29" t="s">
        <v>78</v>
      </c>
      <c r="P120" s="37">
        <f>E120/$M$120*100*0.7*$N$120</f>
        <v>14</v>
      </c>
      <c r="Q120" s="37">
        <f t="shared" ref="Q120:W120" si="192">F120/$M$120*100*0.7*$N$120</f>
        <v>0.99999999999999989</v>
      </c>
      <c r="R120" s="37">
        <f t="shared" si="192"/>
        <v>0</v>
      </c>
      <c r="S120" s="37">
        <f t="shared" si="192"/>
        <v>0.99999999999999989</v>
      </c>
      <c r="T120" s="37">
        <f t="shared" si="192"/>
        <v>1.9999999999999998</v>
      </c>
      <c r="U120" s="37">
        <f t="shared" si="192"/>
        <v>7</v>
      </c>
      <c r="V120" s="37">
        <f t="shared" si="192"/>
        <v>0</v>
      </c>
      <c r="W120" s="37">
        <f t="shared" si="192"/>
        <v>10</v>
      </c>
    </row>
    <row r="121" spans="2:23" ht="17.25" customHeight="1" x14ac:dyDescent="0.3">
      <c r="B121" s="77"/>
      <c r="C121" s="3" t="s">
        <v>133</v>
      </c>
      <c r="D121" s="4" t="s">
        <v>79</v>
      </c>
      <c r="E121" s="7">
        <v>0.98</v>
      </c>
      <c r="F121" s="7">
        <v>0.08</v>
      </c>
      <c r="G121" s="7">
        <v>0.82</v>
      </c>
      <c r="H121" s="7">
        <v>0.98</v>
      </c>
      <c r="I121" s="7">
        <v>1</v>
      </c>
      <c r="J121" s="7">
        <v>0.7</v>
      </c>
      <c r="K121" s="7">
        <v>0.8</v>
      </c>
      <c r="L121" s="52">
        <v>0.9</v>
      </c>
      <c r="M121" s="50">
        <f>KPI指标及权重设计表!F121</f>
        <v>0.98</v>
      </c>
      <c r="N121" s="7">
        <f>KPI指标及权重设计表!G121</f>
        <v>0.1</v>
      </c>
      <c r="O121" s="29" t="s">
        <v>81</v>
      </c>
      <c r="P121" s="37">
        <f>E121/$M$121*100*0.7*$N$121</f>
        <v>7</v>
      </c>
      <c r="Q121" s="37">
        <f t="shared" ref="Q121:W121" si="193">F121/$M$121*100*0.7*$N$121</f>
        <v>0.57142857142857151</v>
      </c>
      <c r="R121" s="37">
        <f t="shared" si="193"/>
        <v>5.8571428571428568</v>
      </c>
      <c r="S121" s="37">
        <f t="shared" si="193"/>
        <v>7</v>
      </c>
      <c r="T121" s="37">
        <f t="shared" si="193"/>
        <v>7.1428571428571432</v>
      </c>
      <c r="U121" s="37">
        <f t="shared" si="193"/>
        <v>5</v>
      </c>
      <c r="V121" s="37">
        <f t="shared" si="193"/>
        <v>5.7142857142857144</v>
      </c>
      <c r="W121" s="37">
        <f t="shared" si="193"/>
        <v>6.4285714285714297</v>
      </c>
    </row>
    <row r="122" spans="2:23" ht="16.5" customHeight="1" x14ac:dyDescent="0.3">
      <c r="B122" s="77"/>
      <c r="C122" s="3" t="s">
        <v>134</v>
      </c>
      <c r="D122" s="4" t="s">
        <v>82</v>
      </c>
      <c r="E122" s="7">
        <v>0.99</v>
      </c>
      <c r="F122" s="7">
        <v>1</v>
      </c>
      <c r="G122" s="7">
        <v>0.98</v>
      </c>
      <c r="H122" s="7">
        <v>0.88</v>
      </c>
      <c r="I122" s="7">
        <v>0.86</v>
      </c>
      <c r="J122" s="7">
        <v>0.98</v>
      </c>
      <c r="K122" s="7">
        <v>0.42</v>
      </c>
      <c r="L122" s="52">
        <v>0.98</v>
      </c>
      <c r="M122" s="50">
        <f>KPI指标及权重设计表!F122</f>
        <v>1</v>
      </c>
      <c r="N122" s="7">
        <f>KPI指标及权重设计表!G122</f>
        <v>0.1</v>
      </c>
      <c r="O122" s="29" t="s">
        <v>84</v>
      </c>
      <c r="P122" s="37">
        <f>E122/$M$122*100*0.7*$N$122</f>
        <v>6.93</v>
      </c>
      <c r="Q122" s="37">
        <f t="shared" ref="Q122" si="194">F122/$M$94*100*0.7*$N$94</f>
        <v>3.6842105263157894</v>
      </c>
      <c r="R122" s="37">
        <f t="shared" ref="R122" si="195">G122/$M$94*100*0.7*$N$94</f>
        <v>3.6105263157894734</v>
      </c>
      <c r="S122" s="37">
        <f t="shared" ref="S122" si="196">H122/$M$94*100*0.7*$N$94</f>
        <v>3.2421052631578946</v>
      </c>
      <c r="T122" s="37">
        <f t="shared" ref="T122" si="197">I122/$M$94*100*0.7*$N$94</f>
        <v>3.168421052631579</v>
      </c>
      <c r="U122" s="37">
        <f t="shared" ref="U122" si="198">J122/$M$94*100*0.7*$N$94</f>
        <v>3.6105263157894734</v>
      </c>
      <c r="V122" s="37">
        <f t="shared" ref="V122" si="199">K122/$M$94*100*0.7*$N$94</f>
        <v>1.5473684210526315</v>
      </c>
      <c r="W122" s="37">
        <f t="shared" ref="W122" si="200">L122/$M$94*100*0.7*$N$94</f>
        <v>3.6105263157894734</v>
      </c>
    </row>
    <row r="123" spans="2:23" ht="16.5" customHeight="1" x14ac:dyDescent="0.3">
      <c r="B123" s="77"/>
      <c r="C123" s="3" t="s">
        <v>135</v>
      </c>
      <c r="D123" s="4" t="s">
        <v>85</v>
      </c>
      <c r="E123" s="42">
        <v>1</v>
      </c>
      <c r="F123" s="42">
        <v>1</v>
      </c>
      <c r="G123" s="42">
        <v>1</v>
      </c>
      <c r="H123" s="42">
        <v>1</v>
      </c>
      <c r="I123" s="42">
        <v>1</v>
      </c>
      <c r="J123" s="42">
        <v>1</v>
      </c>
      <c r="K123" s="42">
        <v>1</v>
      </c>
      <c r="L123" s="52">
        <v>1</v>
      </c>
      <c r="M123" s="50">
        <f>KPI指标及权重设计表!F123</f>
        <v>0.96</v>
      </c>
      <c r="N123" s="7">
        <f>KPI指标及权重设计表!G123</f>
        <v>0.1</v>
      </c>
      <c r="O123" s="29" t="s">
        <v>87</v>
      </c>
      <c r="P123" s="37">
        <f>E123/$M$123*100*0.7*$N$123</f>
        <v>7.2916666666666679</v>
      </c>
      <c r="Q123" s="37">
        <f t="shared" ref="Q123:W123" si="201">F123/$M$123*100*0.7*$N$123</f>
        <v>7.2916666666666679</v>
      </c>
      <c r="R123" s="37">
        <f t="shared" si="201"/>
        <v>7.2916666666666679</v>
      </c>
      <c r="S123" s="37">
        <f t="shared" si="201"/>
        <v>7.2916666666666679</v>
      </c>
      <c r="T123" s="37">
        <f t="shared" si="201"/>
        <v>7.2916666666666679</v>
      </c>
      <c r="U123" s="37">
        <f t="shared" si="201"/>
        <v>7.2916666666666679</v>
      </c>
      <c r="V123" s="37">
        <f t="shared" si="201"/>
        <v>7.2916666666666679</v>
      </c>
      <c r="W123" s="37">
        <f t="shared" si="201"/>
        <v>7.2916666666666679</v>
      </c>
    </row>
    <row r="124" spans="2:23" ht="16.5" customHeight="1" x14ac:dyDescent="0.3">
      <c r="B124" s="77"/>
      <c r="C124" s="3" t="s">
        <v>136</v>
      </c>
      <c r="D124" s="5" t="s">
        <v>88</v>
      </c>
      <c r="E124" s="7">
        <v>0.99</v>
      </c>
      <c r="F124" s="7">
        <v>1</v>
      </c>
      <c r="G124" s="7">
        <v>0.98</v>
      </c>
      <c r="H124" s="7">
        <v>0.88</v>
      </c>
      <c r="I124" s="7">
        <v>0.86</v>
      </c>
      <c r="J124" s="7">
        <v>0.98</v>
      </c>
      <c r="K124" s="7">
        <v>0.42</v>
      </c>
      <c r="L124" s="52">
        <v>0.98</v>
      </c>
      <c r="M124" s="50">
        <f>KPI指标及权重设计表!F124</f>
        <v>0.98</v>
      </c>
      <c r="N124" s="7">
        <f>KPI指标及权重设计表!G124</f>
        <v>0.1</v>
      </c>
      <c r="O124" s="29" t="s">
        <v>90</v>
      </c>
      <c r="P124" s="37">
        <f>E124/$M$124*100*0.7*$N$124</f>
        <v>7.0714285714285712</v>
      </c>
      <c r="Q124" s="37">
        <f t="shared" ref="Q124:W124" si="202">F124/$M$124*100*0.7*$N$124</f>
        <v>7.1428571428571432</v>
      </c>
      <c r="R124" s="37">
        <f t="shared" si="202"/>
        <v>7</v>
      </c>
      <c r="S124" s="37">
        <f t="shared" si="202"/>
        <v>6.2857142857142856</v>
      </c>
      <c r="T124" s="37">
        <f t="shared" si="202"/>
        <v>6.1428571428571423</v>
      </c>
      <c r="U124" s="37">
        <f t="shared" si="202"/>
        <v>7</v>
      </c>
      <c r="V124" s="37">
        <f t="shared" si="202"/>
        <v>3</v>
      </c>
      <c r="W124" s="37">
        <f t="shared" si="202"/>
        <v>7</v>
      </c>
    </row>
    <row r="125" spans="2:23" ht="16.5" customHeight="1" x14ac:dyDescent="0.3">
      <c r="B125" s="77"/>
      <c r="C125" s="3" t="s">
        <v>137</v>
      </c>
      <c r="D125" s="4" t="s">
        <v>91</v>
      </c>
      <c r="E125" s="7">
        <v>0.98</v>
      </c>
      <c r="F125" s="7">
        <v>0.88</v>
      </c>
      <c r="G125" s="7">
        <v>0.82</v>
      </c>
      <c r="H125" s="7">
        <v>0.98</v>
      </c>
      <c r="I125" s="7">
        <v>1</v>
      </c>
      <c r="J125" s="7">
        <v>0.7</v>
      </c>
      <c r="K125" s="7">
        <v>0.8</v>
      </c>
      <c r="L125" s="52">
        <v>0.9</v>
      </c>
      <c r="M125" s="50">
        <f>KPI指标及权重设计表!F125</f>
        <v>0.99</v>
      </c>
      <c r="N125" s="7">
        <f>KPI指标及权重设计表!G125</f>
        <v>0.1</v>
      </c>
      <c r="O125" s="29" t="s">
        <v>311</v>
      </c>
      <c r="P125" s="37">
        <f>E125/$M$125*100*0.7*$N$125</f>
        <v>6.9292929292929291</v>
      </c>
      <c r="Q125" s="37">
        <f t="shared" ref="Q125:W125" si="203">F125/$M$125*100*0.7*$N$125</f>
        <v>6.2222222222222232</v>
      </c>
      <c r="R125" s="37">
        <f t="shared" si="203"/>
        <v>5.7979797979797976</v>
      </c>
      <c r="S125" s="37">
        <f t="shared" si="203"/>
        <v>6.9292929292929291</v>
      </c>
      <c r="T125" s="37">
        <f t="shared" si="203"/>
        <v>7.0707070707070701</v>
      </c>
      <c r="U125" s="37">
        <f t="shared" si="203"/>
        <v>4.9494949494949498</v>
      </c>
      <c r="V125" s="37">
        <f t="shared" si="203"/>
        <v>5.6565656565656575</v>
      </c>
      <c r="W125" s="37">
        <f t="shared" si="203"/>
        <v>6.3636363636363642</v>
      </c>
    </row>
    <row r="126" spans="2:23" x14ac:dyDescent="0.3">
      <c r="B126" s="77" t="s">
        <v>116</v>
      </c>
      <c r="C126" s="3" t="s">
        <v>138</v>
      </c>
      <c r="D126" s="4" t="s">
        <v>105</v>
      </c>
      <c r="E126" s="36">
        <v>1</v>
      </c>
      <c r="F126" s="36">
        <v>7</v>
      </c>
      <c r="G126" s="36">
        <v>0</v>
      </c>
      <c r="H126" s="36">
        <v>1</v>
      </c>
      <c r="I126" s="36">
        <v>2</v>
      </c>
      <c r="J126" s="36">
        <v>6</v>
      </c>
      <c r="K126" s="36">
        <v>8</v>
      </c>
      <c r="L126" s="57">
        <v>2</v>
      </c>
      <c r="M126" s="50">
        <f>KPI指标及权重设计表!F126</f>
        <v>2</v>
      </c>
      <c r="N126" s="7">
        <f>KPI指标及权重设计表!G126</f>
        <v>0.2</v>
      </c>
      <c r="O126" s="16" t="s">
        <v>166</v>
      </c>
      <c r="P126" s="37">
        <f>IF((E126-$M$126)&gt;0,0,100*0.2*$N$126)</f>
        <v>4</v>
      </c>
      <c r="Q126" s="37">
        <f t="shared" ref="Q126:W126" si="204">IF((F126-$M$126)&gt;0,0,100*0.2*$N$126)</f>
        <v>0</v>
      </c>
      <c r="R126" s="37">
        <f t="shared" si="204"/>
        <v>4</v>
      </c>
      <c r="S126" s="37">
        <f t="shared" si="204"/>
        <v>4</v>
      </c>
      <c r="T126" s="37">
        <f t="shared" si="204"/>
        <v>4</v>
      </c>
      <c r="U126" s="37">
        <f t="shared" si="204"/>
        <v>0</v>
      </c>
      <c r="V126" s="37">
        <f t="shared" si="204"/>
        <v>0</v>
      </c>
      <c r="W126" s="37">
        <f t="shared" si="204"/>
        <v>4</v>
      </c>
    </row>
    <row r="127" spans="2:23" x14ac:dyDescent="0.3">
      <c r="B127" s="77"/>
      <c r="C127" s="3" t="s">
        <v>139</v>
      </c>
      <c r="D127" s="21" t="s">
        <v>98</v>
      </c>
      <c r="E127" s="6">
        <v>8</v>
      </c>
      <c r="F127" s="6">
        <v>4</v>
      </c>
      <c r="G127" s="6">
        <v>6</v>
      </c>
      <c r="H127" s="6">
        <v>2</v>
      </c>
      <c r="I127" s="6">
        <v>5</v>
      </c>
      <c r="J127" s="6">
        <v>9</v>
      </c>
      <c r="K127" s="6">
        <v>10</v>
      </c>
      <c r="L127" s="51">
        <v>5</v>
      </c>
      <c r="M127" s="50">
        <f>KPI指标及权重设计表!F127</f>
        <v>6.5</v>
      </c>
      <c r="N127" s="7">
        <f>KPI指标及权重设计表!G127</f>
        <v>0.2</v>
      </c>
      <c r="O127" s="22" t="s">
        <v>159</v>
      </c>
      <c r="P127" s="37">
        <f>IF(E127&lt;=$M127,100*0.2*$N$127,100*0.2*$N$127*(1-(E127-$M$127)/$M$127))</f>
        <v>3.0769230769230766</v>
      </c>
      <c r="Q127" s="37">
        <f t="shared" ref="Q127:W127" si="205">IF(F127&lt;=$M127,100*0.2*$N$127,100*0.2*$N$127*(1-(F127-$M$127)/$M$127))</f>
        <v>4</v>
      </c>
      <c r="R127" s="37">
        <f t="shared" si="205"/>
        <v>4</v>
      </c>
      <c r="S127" s="37">
        <f t="shared" si="205"/>
        <v>4</v>
      </c>
      <c r="T127" s="37">
        <f t="shared" si="205"/>
        <v>4</v>
      </c>
      <c r="U127" s="37">
        <f t="shared" si="205"/>
        <v>2.4615384615384617</v>
      </c>
      <c r="V127" s="37">
        <f t="shared" si="205"/>
        <v>1.8461538461538463</v>
      </c>
      <c r="W127" s="37">
        <f t="shared" si="205"/>
        <v>4</v>
      </c>
    </row>
    <row r="128" spans="2:23" x14ac:dyDescent="0.3">
      <c r="B128" s="77"/>
      <c r="C128" s="3" t="s">
        <v>140</v>
      </c>
      <c r="D128" s="21" t="s">
        <v>99</v>
      </c>
      <c r="E128" s="7">
        <v>0.89</v>
      </c>
      <c r="F128" s="7">
        <v>0.92</v>
      </c>
      <c r="G128" s="7">
        <v>0.98</v>
      </c>
      <c r="H128" s="7">
        <v>0.88</v>
      </c>
      <c r="I128" s="7">
        <v>0.9</v>
      </c>
      <c r="J128" s="7">
        <v>0.88</v>
      </c>
      <c r="K128" s="7">
        <v>0.98</v>
      </c>
      <c r="L128" s="52">
        <v>0.56000000000000005</v>
      </c>
      <c r="M128" s="50">
        <f>KPI指标及权重设计表!F128</f>
        <v>0.98</v>
      </c>
      <c r="N128" s="7">
        <f>KPI指标及权重设计表!G128</f>
        <v>0.2</v>
      </c>
      <c r="O128" s="22" t="s">
        <v>102</v>
      </c>
      <c r="P128" s="37">
        <f>E128/$M$128*100*0.2*$N$128</f>
        <v>3.6326530612244903</v>
      </c>
      <c r="Q128" s="37">
        <f t="shared" ref="Q128:W128" si="206">F128/$M$128*100*0.2*$N$128</f>
        <v>3.7551020408163271</v>
      </c>
      <c r="R128" s="37">
        <f t="shared" si="206"/>
        <v>4</v>
      </c>
      <c r="S128" s="37">
        <f t="shared" si="206"/>
        <v>3.591836734693878</v>
      </c>
      <c r="T128" s="37">
        <f t="shared" si="206"/>
        <v>3.6734693877551026</v>
      </c>
      <c r="U128" s="37">
        <f t="shared" si="206"/>
        <v>3.591836734693878</v>
      </c>
      <c r="V128" s="37">
        <f t="shared" si="206"/>
        <v>4</v>
      </c>
      <c r="W128" s="37">
        <f t="shared" si="206"/>
        <v>2.285714285714286</v>
      </c>
    </row>
    <row r="129" spans="2:23" x14ac:dyDescent="0.3">
      <c r="B129" s="77"/>
      <c r="C129" s="3" t="s">
        <v>141</v>
      </c>
      <c r="D129" s="21" t="s">
        <v>128</v>
      </c>
      <c r="E129" s="7">
        <v>0.76</v>
      </c>
      <c r="F129" s="7">
        <v>0.82</v>
      </c>
      <c r="G129" s="7">
        <v>0.76</v>
      </c>
      <c r="H129" s="7">
        <v>0.9</v>
      </c>
      <c r="I129" s="7">
        <v>0.81</v>
      </c>
      <c r="J129" s="7">
        <v>0.66</v>
      </c>
      <c r="K129" s="7">
        <v>0.52</v>
      </c>
      <c r="L129" s="52">
        <v>0.9</v>
      </c>
      <c r="M129" s="50">
        <f>KPI指标及权重设计表!F129</f>
        <v>0.98</v>
      </c>
      <c r="N129" s="7">
        <f>KPI指标及权重设计表!G129</f>
        <v>0.2</v>
      </c>
      <c r="O129" s="22" t="s">
        <v>165</v>
      </c>
      <c r="P129" s="37">
        <f>E129/$M$129*100*0.2*$N$129</f>
        <v>3.1020408163265309</v>
      </c>
      <c r="Q129" s="37">
        <f t="shared" ref="Q129:W129" si="207">F129/$M$129*100*0.2*$N$129</f>
        <v>3.3469387755102042</v>
      </c>
      <c r="R129" s="37">
        <f t="shared" si="207"/>
        <v>3.1020408163265309</v>
      </c>
      <c r="S129" s="37">
        <f t="shared" si="207"/>
        <v>3.6734693877551026</v>
      </c>
      <c r="T129" s="37">
        <f t="shared" si="207"/>
        <v>3.3061224489795928</v>
      </c>
      <c r="U129" s="37">
        <f t="shared" si="207"/>
        <v>2.6938775510204085</v>
      </c>
      <c r="V129" s="37">
        <f t="shared" si="207"/>
        <v>2.1224489795918369</v>
      </c>
      <c r="W129" s="37">
        <f t="shared" si="207"/>
        <v>3.6734693877551026</v>
      </c>
    </row>
    <row r="130" spans="2:23" x14ac:dyDescent="0.3">
      <c r="B130" s="77"/>
      <c r="C130" s="3" t="s">
        <v>142</v>
      </c>
      <c r="D130" s="21" t="s">
        <v>101</v>
      </c>
      <c r="E130" s="7">
        <v>0.98</v>
      </c>
      <c r="F130" s="7">
        <v>0.88</v>
      </c>
      <c r="G130" s="7">
        <v>0.82</v>
      </c>
      <c r="H130" s="7">
        <v>0.98</v>
      </c>
      <c r="I130" s="7">
        <v>1</v>
      </c>
      <c r="J130" s="7">
        <v>0.7</v>
      </c>
      <c r="K130" s="7">
        <v>0.8</v>
      </c>
      <c r="L130" s="52">
        <v>0.9</v>
      </c>
      <c r="M130" s="50">
        <f>KPI指标及权重设计表!F130</f>
        <v>0.98</v>
      </c>
      <c r="N130" s="7">
        <f>KPI指标及权重设计表!G130</f>
        <v>0.2</v>
      </c>
      <c r="O130" s="16" t="s">
        <v>123</v>
      </c>
      <c r="P130" s="37">
        <f>E130/$M$130*100*0.2*$N$130</f>
        <v>4</v>
      </c>
      <c r="Q130" s="37">
        <f t="shared" ref="Q130:W130" si="208">F130/$M$130*100*0.2*$N$130</f>
        <v>3.591836734693878</v>
      </c>
      <c r="R130" s="37">
        <f t="shared" si="208"/>
        <v>3.3469387755102042</v>
      </c>
      <c r="S130" s="37">
        <f t="shared" si="208"/>
        <v>4</v>
      </c>
      <c r="T130" s="37">
        <f t="shared" si="208"/>
        <v>4.0816326530612255</v>
      </c>
      <c r="U130" s="37">
        <f t="shared" si="208"/>
        <v>2.8571428571428577</v>
      </c>
      <c r="V130" s="37">
        <f t="shared" si="208"/>
        <v>3.2653061224489797</v>
      </c>
      <c r="W130" s="37">
        <f t="shared" si="208"/>
        <v>3.6734693877551026</v>
      </c>
    </row>
    <row r="131" spans="2:23" x14ac:dyDescent="0.3">
      <c r="B131" s="77" t="s">
        <v>117</v>
      </c>
      <c r="C131" s="3" t="s">
        <v>143</v>
      </c>
      <c r="D131" s="21" t="s">
        <v>176</v>
      </c>
      <c r="E131" s="7">
        <v>0.9</v>
      </c>
      <c r="F131" s="7">
        <v>0.92</v>
      </c>
      <c r="G131" s="7">
        <v>0.88</v>
      </c>
      <c r="H131" s="7">
        <v>0.86</v>
      </c>
      <c r="I131" s="7">
        <v>0.96</v>
      </c>
      <c r="J131" s="7">
        <v>1</v>
      </c>
      <c r="K131" s="7">
        <v>0.9</v>
      </c>
      <c r="L131" s="52">
        <v>0.5</v>
      </c>
      <c r="M131" s="50">
        <f>KPI指标及权重设计表!F131</f>
        <v>0.9</v>
      </c>
      <c r="N131" s="7">
        <f>KPI指标及权重设计表!G131</f>
        <v>0.5</v>
      </c>
      <c r="O131" s="22" t="s">
        <v>165</v>
      </c>
      <c r="P131" s="37">
        <f>E131/$M$131*100*0.1*$N$131</f>
        <v>5</v>
      </c>
      <c r="Q131" s="37">
        <f t="shared" ref="Q131:W131" si="209">F131/$M$131*100*0.1*$N$131</f>
        <v>5.1111111111111107</v>
      </c>
      <c r="R131" s="37">
        <f t="shared" si="209"/>
        <v>4.8888888888888893</v>
      </c>
      <c r="S131" s="37">
        <f t="shared" si="209"/>
        <v>4.7777777777777777</v>
      </c>
      <c r="T131" s="37">
        <f t="shared" si="209"/>
        <v>5.3333333333333339</v>
      </c>
      <c r="U131" s="37">
        <f t="shared" si="209"/>
        <v>5.5555555555555562</v>
      </c>
      <c r="V131" s="37">
        <f t="shared" si="209"/>
        <v>5</v>
      </c>
      <c r="W131" s="37">
        <f t="shared" si="209"/>
        <v>2.7777777777777781</v>
      </c>
    </row>
    <row r="132" spans="2:23" x14ac:dyDescent="0.3">
      <c r="B132" s="77"/>
      <c r="C132" s="3" t="s">
        <v>144</v>
      </c>
      <c r="D132" s="4" t="s">
        <v>18</v>
      </c>
      <c r="E132" s="7">
        <v>0.75</v>
      </c>
      <c r="F132" s="7">
        <v>0.8</v>
      </c>
      <c r="G132" s="7">
        <v>0.82</v>
      </c>
      <c r="H132" s="7">
        <v>0.98</v>
      </c>
      <c r="I132" s="7">
        <v>0.8</v>
      </c>
      <c r="J132" s="7">
        <v>0.7</v>
      </c>
      <c r="K132" s="7">
        <v>0.8</v>
      </c>
      <c r="L132" s="52">
        <v>0.9</v>
      </c>
      <c r="M132" s="50">
        <f>KPI指标及权重设计表!F132</f>
        <v>0.9</v>
      </c>
      <c r="N132" s="7">
        <f>KPI指标及权重设计表!G132</f>
        <v>0.5</v>
      </c>
      <c r="O132" s="16" t="s">
        <v>20</v>
      </c>
      <c r="P132" s="37">
        <f>E132/$M$132*100*0.1*$N$132</f>
        <v>4.166666666666667</v>
      </c>
      <c r="Q132" s="37">
        <f t="shared" ref="Q132:W132" si="210">F132/$M$132*100*0.1*$N$132</f>
        <v>4.4444444444444455</v>
      </c>
      <c r="R132" s="37">
        <f t="shared" si="210"/>
        <v>4.5555555555555554</v>
      </c>
      <c r="S132" s="37">
        <f t="shared" si="210"/>
        <v>5.4444444444444446</v>
      </c>
      <c r="T132" s="37">
        <f t="shared" si="210"/>
        <v>4.4444444444444455</v>
      </c>
      <c r="U132" s="37">
        <f t="shared" si="210"/>
        <v>3.8888888888888888</v>
      </c>
      <c r="V132" s="37">
        <f t="shared" si="210"/>
        <v>4.4444444444444455</v>
      </c>
      <c r="W132" s="37">
        <f t="shared" si="210"/>
        <v>5</v>
      </c>
    </row>
    <row r="133" spans="2:23" x14ac:dyDescent="0.3">
      <c r="B133" s="77" t="s">
        <v>118</v>
      </c>
      <c r="C133" s="3" t="s">
        <v>145</v>
      </c>
      <c r="D133" s="21" t="s">
        <v>161</v>
      </c>
      <c r="E133" s="24">
        <v>0</v>
      </c>
      <c r="F133" s="24">
        <v>0</v>
      </c>
      <c r="G133" s="24">
        <v>0</v>
      </c>
      <c r="H133" s="24">
        <v>0</v>
      </c>
      <c r="I133" s="24">
        <v>0</v>
      </c>
      <c r="J133" s="24">
        <v>0</v>
      </c>
      <c r="K133" s="24">
        <v>1</v>
      </c>
      <c r="L133" s="53">
        <v>0</v>
      </c>
      <c r="M133" s="50">
        <f>KPI指标及权重设计表!F133</f>
        <v>0</v>
      </c>
      <c r="N133" s="7">
        <f>KPI指标及权重设计表!G133</f>
        <v>0</v>
      </c>
      <c r="O133" s="16" t="s">
        <v>174</v>
      </c>
      <c r="P133" s="37">
        <f>2*E133</f>
        <v>0</v>
      </c>
      <c r="Q133" s="37">
        <f t="shared" ref="Q133" si="211">2*F133</f>
        <v>0</v>
      </c>
      <c r="R133" s="37">
        <f t="shared" ref="R133" si="212">2*G133</f>
        <v>0</v>
      </c>
      <c r="S133" s="37">
        <f t="shared" ref="S133" si="213">2*H133</f>
        <v>0</v>
      </c>
      <c r="T133" s="37">
        <f t="shared" ref="T133" si="214">2*I133</f>
        <v>0</v>
      </c>
      <c r="U133" s="37">
        <f t="shared" ref="U133" si="215">2*J133</f>
        <v>0</v>
      </c>
      <c r="V133" s="37">
        <f t="shared" ref="V133" si="216">2*K133</f>
        <v>2</v>
      </c>
      <c r="W133" s="37">
        <f t="shared" ref="W133" si="217">2*L133</f>
        <v>0</v>
      </c>
    </row>
    <row r="134" spans="2:23" x14ac:dyDescent="0.3">
      <c r="B134" s="77"/>
      <c r="C134" s="3" t="s">
        <v>146</v>
      </c>
      <c r="D134" s="21" t="s">
        <v>106</v>
      </c>
      <c r="E134" s="24">
        <v>0</v>
      </c>
      <c r="F134" s="24">
        <v>0</v>
      </c>
      <c r="G134" s="24">
        <v>0</v>
      </c>
      <c r="H134" s="24">
        <v>2</v>
      </c>
      <c r="I134" s="24">
        <v>0</v>
      </c>
      <c r="J134" s="24">
        <v>0</v>
      </c>
      <c r="K134" s="24">
        <v>0</v>
      </c>
      <c r="L134" s="53">
        <v>0</v>
      </c>
      <c r="M134" s="50">
        <f>KPI指标及权重设计表!F134</f>
        <v>0</v>
      </c>
      <c r="N134" s="7">
        <f>KPI指标及权重设计表!G134</f>
        <v>0</v>
      </c>
      <c r="O134" s="22" t="s">
        <v>173</v>
      </c>
      <c r="P134" s="37">
        <f>5*E134</f>
        <v>0</v>
      </c>
      <c r="Q134" s="37">
        <f t="shared" ref="Q134" si="218">5*F134</f>
        <v>0</v>
      </c>
      <c r="R134" s="37">
        <f t="shared" ref="R134" si="219">5*G134</f>
        <v>0</v>
      </c>
      <c r="S134" s="37">
        <f t="shared" ref="S134" si="220">5*H134</f>
        <v>10</v>
      </c>
      <c r="T134" s="37">
        <f t="shared" ref="T134" si="221">5*I134</f>
        <v>0</v>
      </c>
      <c r="U134" s="37">
        <f t="shared" ref="U134" si="222">5*J134</f>
        <v>0</v>
      </c>
      <c r="V134" s="37">
        <f t="shared" ref="V134" si="223">5*K134</f>
        <v>0</v>
      </c>
      <c r="W134" s="37">
        <f t="shared" ref="W134" si="224">5*L134</f>
        <v>0</v>
      </c>
    </row>
    <row r="135" spans="2:23" x14ac:dyDescent="0.3">
      <c r="B135" s="77"/>
      <c r="C135" s="3" t="s">
        <v>147</v>
      </c>
      <c r="D135" s="21" t="s">
        <v>108</v>
      </c>
      <c r="E135" s="24">
        <v>0</v>
      </c>
      <c r="F135" s="24">
        <v>0</v>
      </c>
      <c r="G135" s="24">
        <v>0</v>
      </c>
      <c r="H135" s="24">
        <v>0</v>
      </c>
      <c r="I135" s="24">
        <v>0</v>
      </c>
      <c r="J135" s="24">
        <v>0</v>
      </c>
      <c r="K135" s="24">
        <v>0</v>
      </c>
      <c r="L135" s="53">
        <v>0</v>
      </c>
      <c r="M135" s="50">
        <f>KPI指标及权重设计表!F135</f>
        <v>0</v>
      </c>
      <c r="N135" s="7">
        <f>KPI指标及权重设计表!G135</f>
        <v>0</v>
      </c>
      <c r="O135" s="22" t="s">
        <v>308</v>
      </c>
      <c r="P135" s="37">
        <f>2*E135</f>
        <v>0</v>
      </c>
      <c r="Q135" s="37">
        <f t="shared" ref="Q135" si="225">2*F135</f>
        <v>0</v>
      </c>
      <c r="R135" s="37">
        <f t="shared" ref="R135" si="226">2*G135</f>
        <v>0</v>
      </c>
      <c r="S135" s="37">
        <f t="shared" ref="S135" si="227">2*H135</f>
        <v>0</v>
      </c>
      <c r="T135" s="37">
        <f t="shared" ref="T135" si="228">2*I135</f>
        <v>0</v>
      </c>
      <c r="U135" s="37">
        <f t="shared" ref="U135" si="229">2*J135</f>
        <v>0</v>
      </c>
      <c r="V135" s="37">
        <f t="shared" ref="V135" si="230">2*K135</f>
        <v>0</v>
      </c>
      <c r="W135" s="37">
        <f t="shared" ref="W135" si="231">2*L135</f>
        <v>0</v>
      </c>
    </row>
    <row r="136" spans="2:23" x14ac:dyDescent="0.3">
      <c r="B136" s="77"/>
      <c r="C136" s="3" t="s">
        <v>148</v>
      </c>
      <c r="D136" s="21" t="s">
        <v>109</v>
      </c>
      <c r="E136" s="24">
        <v>0</v>
      </c>
      <c r="F136" s="24">
        <v>0</v>
      </c>
      <c r="G136" s="24">
        <v>0</v>
      </c>
      <c r="H136" s="24">
        <v>0</v>
      </c>
      <c r="I136" s="24">
        <v>0</v>
      </c>
      <c r="J136" s="24">
        <v>0</v>
      </c>
      <c r="K136" s="24">
        <v>0</v>
      </c>
      <c r="L136" s="53">
        <v>0</v>
      </c>
      <c r="M136" s="50">
        <f>KPI指标及权重设计表!F136</f>
        <v>0</v>
      </c>
      <c r="N136" s="7">
        <f>KPI指标及权重设计表!G136</f>
        <v>0</v>
      </c>
      <c r="O136" s="16" t="s">
        <v>171</v>
      </c>
      <c r="P136" s="37">
        <f>-5*E136</f>
        <v>0</v>
      </c>
      <c r="Q136" s="37">
        <f t="shared" ref="Q136" si="232">-5*F136</f>
        <v>0</v>
      </c>
      <c r="R136" s="37">
        <f t="shared" ref="R136" si="233">-5*G136</f>
        <v>0</v>
      </c>
      <c r="S136" s="37">
        <f t="shared" ref="S136" si="234">-5*H136</f>
        <v>0</v>
      </c>
      <c r="T136" s="37">
        <f t="shared" ref="T136" si="235">-5*I136</f>
        <v>0</v>
      </c>
      <c r="U136" s="37">
        <f t="shared" ref="U136" si="236">-5*J136</f>
        <v>0</v>
      </c>
      <c r="V136" s="37">
        <f t="shared" ref="V136" si="237">-5*K136</f>
        <v>0</v>
      </c>
      <c r="W136" s="37">
        <f t="shared" ref="W136" si="238">-5*L136</f>
        <v>0</v>
      </c>
    </row>
    <row r="137" spans="2:23" x14ac:dyDescent="0.3">
      <c r="B137" s="77"/>
      <c r="C137" s="3" t="s">
        <v>149</v>
      </c>
      <c r="D137" s="21" t="s">
        <v>110</v>
      </c>
      <c r="E137" s="24">
        <v>0</v>
      </c>
      <c r="F137" s="24">
        <v>1</v>
      </c>
      <c r="G137" s="24">
        <v>0</v>
      </c>
      <c r="H137" s="24">
        <v>0</v>
      </c>
      <c r="I137" s="24">
        <v>0</v>
      </c>
      <c r="J137" s="24">
        <v>0</v>
      </c>
      <c r="K137" s="24">
        <v>0</v>
      </c>
      <c r="L137" s="53">
        <v>0</v>
      </c>
      <c r="M137" s="50">
        <f>KPI指标及权重设计表!F137</f>
        <v>0</v>
      </c>
      <c r="N137" s="7">
        <f>KPI指标及权重设计表!G137</f>
        <v>0</v>
      </c>
      <c r="O137" s="22" t="s">
        <v>168</v>
      </c>
      <c r="P137" s="37">
        <f>-2*E137</f>
        <v>0</v>
      </c>
      <c r="Q137" s="37">
        <f t="shared" ref="Q137" si="239">-2*F137</f>
        <v>-2</v>
      </c>
      <c r="R137" s="37">
        <f t="shared" ref="R137" si="240">-2*G137</f>
        <v>0</v>
      </c>
      <c r="S137" s="37">
        <f t="shared" ref="S137" si="241">-2*H137</f>
        <v>0</v>
      </c>
      <c r="T137" s="37">
        <f t="shared" ref="T137" si="242">-2*I137</f>
        <v>0</v>
      </c>
      <c r="U137" s="37">
        <f t="shared" ref="U137" si="243">-2*J137</f>
        <v>0</v>
      </c>
      <c r="V137" s="37">
        <f t="shared" ref="V137" si="244">-2*K137</f>
        <v>0</v>
      </c>
      <c r="W137" s="37">
        <f t="shared" ref="W137" si="245">-2*L137</f>
        <v>0</v>
      </c>
    </row>
    <row r="138" spans="2:23" x14ac:dyDescent="0.3">
      <c r="B138" s="77"/>
      <c r="C138" s="3" t="s">
        <v>150</v>
      </c>
      <c r="D138" s="21" t="s">
        <v>112</v>
      </c>
      <c r="E138" s="24">
        <v>0</v>
      </c>
      <c r="F138" s="24">
        <v>0</v>
      </c>
      <c r="G138" s="24">
        <v>0</v>
      </c>
      <c r="H138" s="24">
        <v>0</v>
      </c>
      <c r="I138" s="24">
        <v>0</v>
      </c>
      <c r="J138" s="24">
        <v>0</v>
      </c>
      <c r="K138" s="24">
        <v>0</v>
      </c>
      <c r="L138" s="53">
        <v>0</v>
      </c>
      <c r="M138" s="50">
        <f>KPI指标及权重设计表!F138</f>
        <v>0</v>
      </c>
      <c r="N138" s="7">
        <f>KPI指标及权重设计表!G138</f>
        <v>0</v>
      </c>
      <c r="O138" s="22" t="s">
        <v>113</v>
      </c>
      <c r="P138" s="37">
        <f>-5*E138</f>
        <v>0</v>
      </c>
      <c r="Q138" s="37">
        <f t="shared" ref="Q138" si="246">-5*F138</f>
        <v>0</v>
      </c>
      <c r="R138" s="37">
        <f t="shared" ref="R138" si="247">-5*G138</f>
        <v>0</v>
      </c>
      <c r="S138" s="37">
        <f t="shared" ref="S138" si="248">-5*H138</f>
        <v>0</v>
      </c>
      <c r="T138" s="37">
        <f t="shared" ref="T138" si="249">-5*I138</f>
        <v>0</v>
      </c>
      <c r="U138" s="37">
        <f t="shared" ref="U138" si="250">-5*J138</f>
        <v>0</v>
      </c>
      <c r="V138" s="37">
        <f t="shared" ref="V138" si="251">-5*K138</f>
        <v>0</v>
      </c>
      <c r="W138" s="37">
        <f t="shared" ref="W138" si="252">-5*L138</f>
        <v>0</v>
      </c>
    </row>
    <row r="139" spans="2:23" x14ac:dyDescent="0.3">
      <c r="B139" s="77"/>
      <c r="C139" s="3" t="s">
        <v>151</v>
      </c>
      <c r="D139" s="21" t="s">
        <v>119</v>
      </c>
      <c r="E139" s="24">
        <v>0</v>
      </c>
      <c r="F139" s="24">
        <v>0</v>
      </c>
      <c r="G139" s="24">
        <v>0</v>
      </c>
      <c r="H139" s="24">
        <v>0</v>
      </c>
      <c r="I139" s="24">
        <v>1</v>
      </c>
      <c r="J139" s="24">
        <v>0</v>
      </c>
      <c r="K139" s="24">
        <v>0</v>
      </c>
      <c r="L139" s="53">
        <v>0</v>
      </c>
      <c r="M139" s="50">
        <f>KPI指标及权重设计表!F139</f>
        <v>0</v>
      </c>
      <c r="N139" s="7">
        <f>KPI指标及权重设计表!G139</f>
        <v>0</v>
      </c>
      <c r="O139" s="22" t="s">
        <v>164</v>
      </c>
      <c r="P139" s="37">
        <f>-2*E139</f>
        <v>0</v>
      </c>
      <c r="Q139" s="37">
        <f t="shared" ref="Q139" si="253">-2*F139</f>
        <v>0</v>
      </c>
      <c r="R139" s="37">
        <f t="shared" ref="R139" si="254">-2*G139</f>
        <v>0</v>
      </c>
      <c r="S139" s="37">
        <f t="shared" ref="S139" si="255">-2*H139</f>
        <v>0</v>
      </c>
      <c r="T139" s="37">
        <f t="shared" ref="T139" si="256">-2*I139</f>
        <v>-2</v>
      </c>
      <c r="U139" s="37">
        <f t="shared" ref="U139" si="257">-2*J139</f>
        <v>0</v>
      </c>
      <c r="V139" s="37">
        <f t="shared" ref="V139" si="258">-2*K139</f>
        <v>0</v>
      </c>
      <c r="W139" s="37">
        <f t="shared" ref="W139" si="259">-2*L139</f>
        <v>0</v>
      </c>
    </row>
    <row r="140" spans="2:23" ht="18.75" thickBot="1" x14ac:dyDescent="0.35">
      <c r="B140" s="19" t="s">
        <v>154</v>
      </c>
      <c r="C140" s="8" t="s">
        <v>155</v>
      </c>
      <c r="D140" s="23" t="s">
        <v>157</v>
      </c>
      <c r="E140" s="43">
        <v>100</v>
      </c>
      <c r="F140" s="9">
        <v>75</v>
      </c>
      <c r="G140" s="9">
        <v>88</v>
      </c>
      <c r="H140" s="9">
        <v>38</v>
      </c>
      <c r="I140" s="9">
        <v>99</v>
      </c>
      <c r="J140" s="9">
        <v>81</v>
      </c>
      <c r="K140" s="9">
        <v>86</v>
      </c>
      <c r="L140" s="58">
        <v>90</v>
      </c>
      <c r="M140" s="50">
        <f>KPI指标及权重设计表!F140</f>
        <v>80</v>
      </c>
      <c r="N140" s="7">
        <f>KPI指标及权重设计表!G140</f>
        <v>0</v>
      </c>
      <c r="O140" s="17" t="s">
        <v>158</v>
      </c>
      <c r="P140" s="37">
        <f>IF((E140-$M$140)/(100-$M$140)*10&lt;=-10,-10,(E140-$M$140)/(100-$M$140)*10)</f>
        <v>10</v>
      </c>
      <c r="Q140" s="37">
        <f t="shared" ref="Q140:W140" si="260">IF((F140-$M$140)/(100-$M$140)*10&lt;=-10,-10,(F140-$M$140)/(100-$M$140)*10)</f>
        <v>-2.5</v>
      </c>
      <c r="R140" s="37">
        <f t="shared" si="260"/>
        <v>4</v>
      </c>
      <c r="S140" s="37">
        <f t="shared" si="260"/>
        <v>-10</v>
      </c>
      <c r="T140" s="37">
        <f t="shared" si="260"/>
        <v>9.5</v>
      </c>
      <c r="U140" s="37">
        <f t="shared" si="260"/>
        <v>0.5</v>
      </c>
      <c r="V140" s="37">
        <f t="shared" si="260"/>
        <v>3</v>
      </c>
      <c r="W140" s="37">
        <f t="shared" si="260"/>
        <v>5</v>
      </c>
    </row>
    <row r="141" spans="2:23" ht="17.25" thickTop="1" x14ac:dyDescent="0.3">
      <c r="P141" s="37">
        <f>SUM(P117:P140)</f>
        <v>104.39716544378548</v>
      </c>
      <c r="Q141" s="37">
        <f t="shared" ref="Q141" si="261">SUM(Q117:Q140)</f>
        <v>62.96390389382212</v>
      </c>
      <c r="R141" s="37">
        <f t="shared" ref="R141" si="262">SUM(R117:R140)</f>
        <v>78.602663923722375</v>
      </c>
      <c r="S141" s="37">
        <f t="shared" ref="S141" si="263">SUM(S117:S140)</f>
        <v>80.146439739841412</v>
      </c>
      <c r="T141" s="37">
        <f t="shared" ref="T141" si="264">SUM(T117:T140)</f>
        <v>86.385432052595448</v>
      </c>
      <c r="U141" s="37">
        <f t="shared" ref="U141" si="265">SUM(U117:U140)</f>
        <v>71.062404477719184</v>
      </c>
      <c r="V141" s="37">
        <f t="shared" ref="V141" si="266">SUM(V117:V140)</f>
        <v>63.953948483928727</v>
      </c>
      <c r="W141" s="37">
        <f t="shared" ref="W141" si="267">SUM(W117:W140)</f>
        <v>90.254048376285041</v>
      </c>
    </row>
  </sheetData>
  <protectedRanges>
    <protectedRange password="CC41" sqref="D15 D43 D71 D99 D127" name="区域1_17_3_1_2_2"/>
    <protectedRange password="CC41" sqref="D50 D78 D106 D134 D22" name="区域1_17_14"/>
    <protectedRange password="CC41" sqref="D51 D79 D107 D135 D23" name="区域1_17_14_1_4"/>
    <protectedRange password="CC41" sqref="O15 O43 O71 O99 O127" name="区域1_17_3_1_2_2_1_1"/>
    <protectedRange password="CC41" sqref="O17 O47 O19 O45 O75 O73 O103 O101 O131 O129" name="区域1_17_5_3_1"/>
    <protectedRange password="CC41" sqref="O22 O50 O78 O106 O134" name="区域1_17_14_1_1"/>
    <protectedRange password="CC41" sqref="O23 O51 O79 O107 O135" name="区域1_17_5_3_1_1_1_2_5_1"/>
    <protectedRange password="CC41" sqref="O33:O34" name="区域1_17_3_1_2_1_3_1_1"/>
    <protectedRange password="CC41" sqref="O38" name="区域1_17_1_1_2_1_1_1"/>
    <protectedRange password="CC41" sqref="O40" name="区域1_17_1_2_19_1"/>
    <protectedRange password="CC41" sqref="O39" name="区域1_17_1_2_1_1_1_1"/>
  </protectedRanges>
  <mergeCells count="30">
    <mergeCell ref="B133:B139"/>
    <mergeCell ref="B86:L86"/>
    <mergeCell ref="B87:L87"/>
    <mergeCell ref="B89:B97"/>
    <mergeCell ref="B98:B102"/>
    <mergeCell ref="B103:B104"/>
    <mergeCell ref="B105:B111"/>
    <mergeCell ref="B114:L114"/>
    <mergeCell ref="B115:L115"/>
    <mergeCell ref="B117:B125"/>
    <mergeCell ref="B126:B130"/>
    <mergeCell ref="B131:B132"/>
    <mergeCell ref="B77:B83"/>
    <mergeCell ref="B30:L30"/>
    <mergeCell ref="B31:L31"/>
    <mergeCell ref="B33:B41"/>
    <mergeCell ref="B42:B46"/>
    <mergeCell ref="B47:B48"/>
    <mergeCell ref="B49:B55"/>
    <mergeCell ref="B58:L58"/>
    <mergeCell ref="B59:L59"/>
    <mergeCell ref="B61:B69"/>
    <mergeCell ref="B70:B74"/>
    <mergeCell ref="B75:B76"/>
    <mergeCell ref="B21:B27"/>
    <mergeCell ref="B2:L2"/>
    <mergeCell ref="B3:L3"/>
    <mergeCell ref="B5:B13"/>
    <mergeCell ref="B14:B18"/>
    <mergeCell ref="B19:B20"/>
  </mergeCells>
  <phoneticPr fontId="1" type="noConversion"/>
  <pageMargins left="0.7" right="0.7" top="0.75" bottom="0.75" header="0.3" footer="0.3"/>
  <pageSetup paperSize="9" scale="79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008E8-E8A6-4B92-9347-135EB2F76220}">
  <sheetPr>
    <pageSetUpPr fitToPage="1"/>
  </sheetPr>
  <dimension ref="A1:AI48"/>
  <sheetViews>
    <sheetView zoomScaleNormal="100" workbookViewId="0">
      <selection activeCell="A2" sqref="A2:AI2"/>
    </sheetView>
  </sheetViews>
  <sheetFormatPr defaultRowHeight="14.25" x14ac:dyDescent="0.2"/>
  <cols>
    <col min="1" max="1" width="9.5" style="45" customWidth="1"/>
    <col min="2" max="2" width="9" style="45"/>
    <col min="3" max="5" width="7.375" style="45" bestFit="1" customWidth="1"/>
    <col min="6" max="10" width="6.75" style="45" bestFit="1" customWidth="1"/>
    <col min="11" max="11" width="6.75" style="63" bestFit="1" customWidth="1"/>
    <col min="12" max="12" width="0.25" style="66" customWidth="1"/>
    <col min="13" max="17" width="6.75" style="45" bestFit="1" customWidth="1"/>
    <col min="18" max="18" width="0.375" style="66" customWidth="1"/>
    <col min="19" max="20" width="6.75" style="45" bestFit="1" customWidth="1"/>
    <col min="21" max="21" width="0.25" style="66" customWidth="1"/>
    <col min="22" max="22" width="0.25" style="45" customWidth="1"/>
    <col min="23" max="23" width="6.25" style="45" bestFit="1" customWidth="1"/>
    <col min="24" max="24" width="7.375" style="45" bestFit="1" customWidth="1"/>
    <col min="25" max="26" width="6.25" style="45" bestFit="1" customWidth="1"/>
    <col min="27" max="27" width="7" style="45" bestFit="1" customWidth="1"/>
    <col min="28" max="28" width="6.25" style="45" bestFit="1" customWidth="1"/>
    <col min="29" max="29" width="7" style="45" bestFit="1" customWidth="1"/>
    <col min="30" max="30" width="0.25" style="66" customWidth="1"/>
    <col min="31" max="31" width="6.875" style="45" customWidth="1"/>
    <col min="32" max="32" width="0.25" style="66" customWidth="1"/>
    <col min="33" max="33" width="8.375" style="45" customWidth="1"/>
    <col min="34" max="34" width="10.25" style="45" customWidth="1"/>
    <col min="35" max="35" width="10" style="45" customWidth="1"/>
    <col min="36" max="16384" width="9" style="45"/>
  </cols>
  <sheetData>
    <row r="1" spans="1:35" ht="36" customHeight="1" x14ac:dyDescent="0.4">
      <c r="A1" s="81" t="s">
        <v>288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</row>
    <row r="2" spans="1:35" ht="22.5" customHeight="1" x14ac:dyDescent="0.2">
      <c r="A2" s="82" t="s">
        <v>316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</row>
    <row r="3" spans="1:35" s="46" customFormat="1" ht="21.75" customHeight="1" x14ac:dyDescent="0.2">
      <c r="A3" s="3" t="s">
        <v>216</v>
      </c>
      <c r="B3" s="3" t="s">
        <v>215</v>
      </c>
      <c r="C3" s="3" t="s">
        <v>129</v>
      </c>
      <c r="D3" s="3" t="s">
        <v>130</v>
      </c>
      <c r="E3" s="3" t="s">
        <v>131</v>
      </c>
      <c r="F3" s="3" t="s">
        <v>247</v>
      </c>
      <c r="G3" s="3" t="s">
        <v>248</v>
      </c>
      <c r="H3" s="3" t="s">
        <v>249</v>
      </c>
      <c r="I3" s="3" t="s">
        <v>250</v>
      </c>
      <c r="J3" s="3" t="s">
        <v>251</v>
      </c>
      <c r="K3" s="3" t="s">
        <v>252</v>
      </c>
      <c r="L3" s="68" t="s">
        <v>289</v>
      </c>
      <c r="M3" s="60" t="s">
        <v>138</v>
      </c>
      <c r="N3" s="3" t="s">
        <v>139</v>
      </c>
      <c r="O3" s="3" t="s">
        <v>140</v>
      </c>
      <c r="P3" s="3" t="s">
        <v>141</v>
      </c>
      <c r="Q3" s="3" t="s">
        <v>142</v>
      </c>
      <c r="R3" s="64" t="s">
        <v>290</v>
      </c>
      <c r="S3" s="60" t="s">
        <v>143</v>
      </c>
      <c r="T3" s="3" t="s">
        <v>144</v>
      </c>
      <c r="U3" s="64" t="s">
        <v>291</v>
      </c>
      <c r="V3" s="67" t="s">
        <v>294</v>
      </c>
      <c r="W3" s="60" t="s">
        <v>145</v>
      </c>
      <c r="X3" s="3" t="s">
        <v>146</v>
      </c>
      <c r="Y3" s="3" t="s">
        <v>147</v>
      </c>
      <c r="Z3" s="3" t="s">
        <v>253</v>
      </c>
      <c r="AA3" s="3" t="s">
        <v>254</v>
      </c>
      <c r="AB3" s="3" t="s">
        <v>255</v>
      </c>
      <c r="AC3" s="3" t="s">
        <v>256</v>
      </c>
      <c r="AD3" s="64" t="s">
        <v>292</v>
      </c>
      <c r="AE3" s="60" t="s">
        <v>155</v>
      </c>
      <c r="AF3" s="64" t="s">
        <v>293</v>
      </c>
      <c r="AG3" s="60" t="s">
        <v>277</v>
      </c>
      <c r="AH3" s="3" t="s">
        <v>314</v>
      </c>
      <c r="AI3" s="3" t="s">
        <v>315</v>
      </c>
    </row>
    <row r="4" spans="1:35" ht="18" customHeight="1" x14ac:dyDescent="0.2">
      <c r="A4" s="47" t="s">
        <v>283</v>
      </c>
      <c r="B4" s="47" t="s">
        <v>217</v>
      </c>
      <c r="C4" s="48">
        <f>员工业绩!P5</f>
        <v>20.16</v>
      </c>
      <c r="D4" s="48">
        <f>员工业绩!P6</f>
        <v>13.3</v>
      </c>
      <c r="E4" s="48">
        <f>员工业绩!P7</f>
        <v>7.583333333333333</v>
      </c>
      <c r="F4" s="48">
        <f>员工业绩!P8</f>
        <v>7</v>
      </c>
      <c r="G4" s="48">
        <f>员工业绩!P8</f>
        <v>7</v>
      </c>
      <c r="H4" s="48">
        <f>员工业绩!P9</f>
        <v>3.5</v>
      </c>
      <c r="I4" s="48">
        <f>员工业绩!P10</f>
        <v>3.5357142857142856</v>
      </c>
      <c r="J4" s="48">
        <f>员工业绩!P11</f>
        <v>2.8571428571428572</v>
      </c>
      <c r="K4" s="48">
        <f>员工业绩!P12</f>
        <v>2.1</v>
      </c>
      <c r="L4" s="69">
        <f>SUM(C4:K4)</f>
        <v>67.03619047619047</v>
      </c>
      <c r="M4" s="61">
        <f>员工业绩!P13</f>
        <v>2.3099999999999996</v>
      </c>
      <c r="N4" s="48">
        <f>员工业绩!P14</f>
        <v>4</v>
      </c>
      <c r="O4" s="48">
        <f>员工业绩!P15</f>
        <v>4</v>
      </c>
      <c r="P4" s="48">
        <f>员工业绩!P16</f>
        <v>4.0408163265306127</v>
      </c>
      <c r="Q4" s="48">
        <f>员工业绩!P17</f>
        <v>3.6734693877551026</v>
      </c>
      <c r="R4" s="65">
        <f>SUM(M4:Q4)</f>
        <v>18.024285714285714</v>
      </c>
      <c r="S4" s="61">
        <f>员工业绩!P18</f>
        <v>3.2653061224489797</v>
      </c>
      <c r="T4" s="48">
        <f>员工业绩!P19</f>
        <v>5</v>
      </c>
      <c r="U4" s="65">
        <f>SUM(S4:T4)</f>
        <v>8.2653061224489797</v>
      </c>
      <c r="V4" s="62">
        <f>L4+R4+U4</f>
        <v>93.325782312925156</v>
      </c>
      <c r="W4" s="61">
        <f>员工业绩!P20</f>
        <v>4.4444444444444455</v>
      </c>
      <c r="X4" s="48">
        <f>员工业绩!P21</f>
        <v>0</v>
      </c>
      <c r="Y4" s="48">
        <f>员工业绩!P22</f>
        <v>0</v>
      </c>
      <c r="Z4" s="48">
        <f>员工业绩!P23</f>
        <v>0</v>
      </c>
      <c r="AA4" s="48">
        <f>员工业绩!P24</f>
        <v>0</v>
      </c>
      <c r="AB4" s="48">
        <f>员工业绩!P25</f>
        <v>0</v>
      </c>
      <c r="AC4" s="48">
        <f>员工业绩!P26</f>
        <v>0</v>
      </c>
      <c r="AD4" s="65">
        <f>SUM(W4:AC4)</f>
        <v>4.4444444444444455</v>
      </c>
      <c r="AE4" s="61">
        <f>员工业绩!P27</f>
        <v>0</v>
      </c>
      <c r="AF4" s="65">
        <f>SUM(AE4)</f>
        <v>0</v>
      </c>
      <c r="AG4" s="61">
        <f>L4+R4+U4+AD4+AF4</f>
        <v>97.770226757369599</v>
      </c>
      <c r="AH4" s="70">
        <v>28000</v>
      </c>
      <c r="AI4" s="71">
        <f>AG4*AH4/100</f>
        <v>27375.66349206349</v>
      </c>
    </row>
    <row r="5" spans="1:35" ht="18" customHeight="1" x14ac:dyDescent="0.2">
      <c r="A5" s="47" t="s">
        <v>282</v>
      </c>
      <c r="B5" s="47" t="s">
        <v>218</v>
      </c>
      <c r="C5" s="48">
        <f>员工业绩!Q5</f>
        <v>29.679999999999996</v>
      </c>
      <c r="D5" s="48">
        <f>员工业绩!Q6</f>
        <v>15.399999999999999</v>
      </c>
      <c r="E5" s="48">
        <f>员工业绩!Q7</f>
        <v>7.4666666666666677</v>
      </c>
      <c r="F5" s="48">
        <f>员工业绩!Q8</f>
        <v>7</v>
      </c>
      <c r="G5" s="48">
        <f>员工业绩!Q9</f>
        <v>3.1888888888888882</v>
      </c>
      <c r="H5" s="48">
        <f>员工业绩!Q10</f>
        <v>3.5714285714285716</v>
      </c>
      <c r="I5" s="48">
        <f>员工业绩!Q11</f>
        <v>2.8571428571428572</v>
      </c>
      <c r="J5" s="48">
        <f>员工业绩!Q12</f>
        <v>2.3624999999999998</v>
      </c>
      <c r="K5" s="48">
        <f>员工业绩!Q13</f>
        <v>2.333333333333333</v>
      </c>
      <c r="L5" s="69">
        <f t="shared" ref="L5:L47" si="0">SUM(C5:K5)</f>
        <v>73.85996031746032</v>
      </c>
      <c r="M5" s="61">
        <f>员工业绩!Q14</f>
        <v>4</v>
      </c>
      <c r="N5" s="48">
        <f>员工业绩!Q15</f>
        <v>4</v>
      </c>
      <c r="O5" s="48">
        <f>员工业绩!Q16</f>
        <v>4.0816326530612255</v>
      </c>
      <c r="P5" s="48">
        <f>员工业绩!Q17</f>
        <v>3.3469387755102042</v>
      </c>
      <c r="Q5" s="48">
        <f>员工业绩!Q18</f>
        <v>3.2653061224489797</v>
      </c>
      <c r="R5" s="65">
        <f t="shared" ref="R5:R47" si="1">SUM(M5:Q5)</f>
        <v>18.69387755102041</v>
      </c>
      <c r="S5" s="61">
        <f>员工业绩!Q19</f>
        <v>5.1111111111111107</v>
      </c>
      <c r="T5" s="48">
        <f>员工业绩!Q20</f>
        <v>4.4444444444444455</v>
      </c>
      <c r="U5" s="65">
        <f t="shared" ref="U5:U47" si="2">SUM(S5:T5)</f>
        <v>9.5555555555555571</v>
      </c>
      <c r="V5" s="62">
        <f t="shared" ref="V5:V47" si="3">L5+R5+U5</f>
        <v>102.10939342403628</v>
      </c>
      <c r="W5" s="61">
        <f>员工业绩!Q21</f>
        <v>0</v>
      </c>
      <c r="X5" s="48">
        <f>员工业绩!Q22</f>
        <v>0</v>
      </c>
      <c r="Y5" s="48">
        <f>员工业绩!Q23</f>
        <v>0</v>
      </c>
      <c r="Z5" s="48">
        <f>员工业绩!Q24</f>
        <v>0</v>
      </c>
      <c r="AA5" s="48">
        <f>员工业绩!Q25</f>
        <v>0</v>
      </c>
      <c r="AB5" s="48">
        <f>员工业绩!Q26</f>
        <v>0</v>
      </c>
      <c r="AC5" s="48">
        <f>员工业绩!Q27</f>
        <v>0</v>
      </c>
      <c r="AD5" s="65">
        <f t="shared" ref="AD5:AD47" si="4">SUM(W5:AC5)</f>
        <v>0</v>
      </c>
      <c r="AE5" s="61">
        <f>员工业绩!Q28</f>
        <v>4</v>
      </c>
      <c r="AF5" s="65">
        <f t="shared" ref="AF5:AF47" si="5">SUM(AE5)</f>
        <v>4</v>
      </c>
      <c r="AG5" s="61">
        <f t="shared" ref="AG5:AG47" si="6">L5+R5+U5+AD5+AF5</f>
        <v>106.10939342403628</v>
      </c>
      <c r="AH5" s="70">
        <v>28000</v>
      </c>
      <c r="AI5" s="71">
        <f t="shared" ref="AI5:AI47" si="7">AG5*AH5/100</f>
        <v>29710.630158730157</v>
      </c>
    </row>
    <row r="6" spans="1:35" ht="18" customHeight="1" x14ac:dyDescent="0.2">
      <c r="A6" s="47" t="s">
        <v>282</v>
      </c>
      <c r="B6" s="47" t="s">
        <v>219</v>
      </c>
      <c r="C6" s="48">
        <f>员工业绩!R5</f>
        <v>11.200000000000001</v>
      </c>
      <c r="D6" s="48">
        <f>员工业绩!R6</f>
        <v>10.499999999999998</v>
      </c>
      <c r="E6" s="48">
        <f>员工业绩!R7</f>
        <v>7</v>
      </c>
      <c r="F6" s="48">
        <f>员工业绩!R8</f>
        <v>7.1749999999999989</v>
      </c>
      <c r="G6" s="48">
        <f>员工业绩!R9</f>
        <v>2.9555555555555557</v>
      </c>
      <c r="H6" s="48">
        <f>员工业绩!R10</f>
        <v>3.5</v>
      </c>
      <c r="I6" s="48">
        <f>员工业绩!R11</f>
        <v>2.8000000000000003</v>
      </c>
      <c r="J6" s="48">
        <f>员工业绩!R12</f>
        <v>1.9949999999999999</v>
      </c>
      <c r="K6" s="48">
        <f>员工业绩!R13</f>
        <v>2.2866666666666662</v>
      </c>
      <c r="L6" s="69">
        <f t="shared" si="0"/>
        <v>49.412222222222219</v>
      </c>
      <c r="M6" s="61">
        <f>员工业绩!R14</f>
        <v>0</v>
      </c>
      <c r="N6" s="48">
        <f>员工业绩!R15</f>
        <v>3.2</v>
      </c>
      <c r="O6" s="48">
        <f>员工业绩!R16</f>
        <v>4</v>
      </c>
      <c r="P6" s="48">
        <f>员工业绩!R17</f>
        <v>3.1020408163265309</v>
      </c>
      <c r="Q6" s="48">
        <f>员工业绩!R18</f>
        <v>3.3469387755102042</v>
      </c>
      <c r="R6" s="65">
        <f t="shared" si="1"/>
        <v>13.648979591836735</v>
      </c>
      <c r="S6" s="61">
        <f>员工业绩!R19</f>
        <v>4.8888888888888893</v>
      </c>
      <c r="T6" s="48">
        <f>员工业绩!R20</f>
        <v>4.5555555555555554</v>
      </c>
      <c r="U6" s="65">
        <f t="shared" si="2"/>
        <v>9.4444444444444446</v>
      </c>
      <c r="V6" s="62">
        <f t="shared" si="3"/>
        <v>72.505646258503404</v>
      </c>
      <c r="W6" s="61">
        <f>员工业绩!R21</f>
        <v>0</v>
      </c>
      <c r="X6" s="48">
        <f>员工业绩!R22</f>
        <v>0</v>
      </c>
      <c r="Y6" s="48">
        <f>员工业绩!R23</f>
        <v>0</v>
      </c>
      <c r="Z6" s="48">
        <f>员工业绩!R24</f>
        <v>0</v>
      </c>
      <c r="AA6" s="48">
        <f>员工业绩!R25</f>
        <v>0</v>
      </c>
      <c r="AB6" s="48">
        <f>员工业绩!R26</f>
        <v>0</v>
      </c>
      <c r="AC6" s="48">
        <f>员工业绩!R27</f>
        <v>-2</v>
      </c>
      <c r="AD6" s="65">
        <f t="shared" si="4"/>
        <v>-2</v>
      </c>
      <c r="AE6" s="61">
        <f>员工业绩!R28</f>
        <v>-10</v>
      </c>
      <c r="AF6" s="65">
        <f t="shared" si="5"/>
        <v>-10</v>
      </c>
      <c r="AG6" s="61">
        <f t="shared" si="6"/>
        <v>60.505646258503404</v>
      </c>
      <c r="AH6" s="70">
        <v>28000</v>
      </c>
      <c r="AI6" s="71">
        <f t="shared" si="7"/>
        <v>16941.580952380955</v>
      </c>
    </row>
    <row r="7" spans="1:35" ht="18" customHeight="1" x14ac:dyDescent="0.2">
      <c r="A7" s="47" t="s">
        <v>283</v>
      </c>
      <c r="B7" s="47" t="s">
        <v>220</v>
      </c>
      <c r="C7" s="48">
        <f>员工业绩!S5</f>
        <v>29.12</v>
      </c>
      <c r="D7" s="48">
        <f>员工业绩!S6</f>
        <v>15.399999999999999</v>
      </c>
      <c r="E7" s="48">
        <f>员工业绩!S7</f>
        <v>7.9333333333333345</v>
      </c>
      <c r="F7" s="48">
        <f>员工业绩!S8</f>
        <v>8.5749999999999993</v>
      </c>
      <c r="G7" s="48">
        <f>员工业绩!S9</f>
        <v>3.5</v>
      </c>
      <c r="H7" s="48">
        <f>员工业绩!S10</f>
        <v>3.1428571428571428</v>
      </c>
      <c r="I7" s="48">
        <f>员工业绩!S11</f>
        <v>2.8000000000000003</v>
      </c>
      <c r="J7" s="48">
        <f>员工业绩!S12</f>
        <v>2.5724999999999993</v>
      </c>
      <c r="K7" s="48">
        <f>员工业绩!S13</f>
        <v>2.0533333333333328</v>
      </c>
      <c r="L7" s="69">
        <f t="shared" si="0"/>
        <v>75.097023809523805</v>
      </c>
      <c r="M7" s="61">
        <f>员工业绩!S14</f>
        <v>4</v>
      </c>
      <c r="N7" s="48">
        <f>员工业绩!S15</f>
        <v>4</v>
      </c>
      <c r="O7" s="48">
        <f>员工业绩!S16</f>
        <v>3.591836734693878</v>
      </c>
      <c r="P7" s="48">
        <f>员工业绩!S17</f>
        <v>3.6734693877551026</v>
      </c>
      <c r="Q7" s="48">
        <f>员工业绩!S18</f>
        <v>4</v>
      </c>
      <c r="R7" s="65">
        <f t="shared" si="1"/>
        <v>19.26530612244898</v>
      </c>
      <c r="S7" s="61">
        <f>员工业绩!S19</f>
        <v>4.7777777777777777</v>
      </c>
      <c r="T7" s="48">
        <f>员工业绩!S20</f>
        <v>5.4444444444444446</v>
      </c>
      <c r="U7" s="65">
        <f t="shared" si="2"/>
        <v>10.222222222222221</v>
      </c>
      <c r="V7" s="62">
        <f t="shared" si="3"/>
        <v>104.58455215419499</v>
      </c>
      <c r="W7" s="61">
        <f>员工业绩!S21</f>
        <v>0</v>
      </c>
      <c r="X7" s="48">
        <f>员工业绩!S22</f>
        <v>5</v>
      </c>
      <c r="Y7" s="48">
        <f>员工业绩!S23</f>
        <v>0</v>
      </c>
      <c r="Z7" s="48">
        <f>员工业绩!S24</f>
        <v>0</v>
      </c>
      <c r="AA7" s="48">
        <f>员工业绩!S25</f>
        <v>0</v>
      </c>
      <c r="AB7" s="48">
        <f>员工业绩!S26</f>
        <v>0</v>
      </c>
      <c r="AC7" s="48">
        <f>员工业绩!S27</f>
        <v>0</v>
      </c>
      <c r="AD7" s="65">
        <f t="shared" si="4"/>
        <v>5</v>
      </c>
      <c r="AE7" s="61">
        <f>员工业绩!S28</f>
        <v>9.5</v>
      </c>
      <c r="AF7" s="65">
        <f t="shared" si="5"/>
        <v>9.5</v>
      </c>
      <c r="AG7" s="61">
        <f t="shared" si="6"/>
        <v>119.08455215419499</v>
      </c>
      <c r="AH7" s="70">
        <v>28000</v>
      </c>
      <c r="AI7" s="71">
        <f t="shared" si="7"/>
        <v>33343.674603174601</v>
      </c>
    </row>
    <row r="8" spans="1:35" ht="18" customHeight="1" x14ac:dyDescent="0.2">
      <c r="A8" s="47" t="s">
        <v>282</v>
      </c>
      <c r="B8" s="47" t="s">
        <v>221</v>
      </c>
      <c r="C8" s="48">
        <f>员工业绩!T5</f>
        <v>28</v>
      </c>
      <c r="D8" s="48">
        <f>员工业绩!T6</f>
        <v>13.3</v>
      </c>
      <c r="E8" s="48">
        <f>员工业绩!T7</f>
        <v>8.75</v>
      </c>
      <c r="F8" s="48">
        <f>员工业绩!T8</f>
        <v>7</v>
      </c>
      <c r="G8" s="48">
        <f>员工业绩!T9</f>
        <v>3.15</v>
      </c>
      <c r="H8" s="48">
        <f>员工业绩!T10</f>
        <v>3.0714285714285712</v>
      </c>
      <c r="I8" s="48">
        <f>员工业绩!T11</f>
        <v>2.8571428571428572</v>
      </c>
      <c r="J8" s="48">
        <f>员工业绩!T12</f>
        <v>2.1262499999999998</v>
      </c>
      <c r="K8" s="48">
        <f>员工业绩!T13</f>
        <v>2.0066666666666659</v>
      </c>
      <c r="L8" s="69">
        <f t="shared" si="0"/>
        <v>70.261488095238079</v>
      </c>
      <c r="M8" s="61">
        <f>员工业绩!T14</f>
        <v>0</v>
      </c>
      <c r="N8" s="48">
        <f>员工业绩!T15</f>
        <v>4</v>
      </c>
      <c r="O8" s="48">
        <f>员工业绩!T16</f>
        <v>4.0816326530612255</v>
      </c>
      <c r="P8" s="48">
        <f>员工业绩!T17</f>
        <v>3.3061224489795928</v>
      </c>
      <c r="Q8" s="48">
        <f>员工业绩!T18</f>
        <v>4.0816326530612255</v>
      </c>
      <c r="R8" s="65">
        <f t="shared" si="1"/>
        <v>15.469387755102044</v>
      </c>
      <c r="S8" s="61">
        <f>员工业绩!T19</f>
        <v>5.3333333333333339</v>
      </c>
      <c r="T8" s="48">
        <f>员工业绩!T20</f>
        <v>4.4444444444444455</v>
      </c>
      <c r="U8" s="65">
        <f t="shared" si="2"/>
        <v>9.7777777777777786</v>
      </c>
      <c r="V8" s="62">
        <f t="shared" si="3"/>
        <v>95.508653628117912</v>
      </c>
      <c r="W8" s="61">
        <f>员工业绩!T21</f>
        <v>0</v>
      </c>
      <c r="X8" s="48">
        <f>员工业绩!T22</f>
        <v>0</v>
      </c>
      <c r="Y8" s="48">
        <f>员工业绩!T23</f>
        <v>0</v>
      </c>
      <c r="Z8" s="48">
        <f>员工业绩!T24</f>
        <v>0</v>
      </c>
      <c r="AA8" s="48">
        <f>员工业绩!T25</f>
        <v>0</v>
      </c>
      <c r="AB8" s="48">
        <f>员工业绩!T26</f>
        <v>0</v>
      </c>
      <c r="AC8" s="48">
        <f>员工业绩!T27</f>
        <v>0</v>
      </c>
      <c r="AD8" s="65">
        <f t="shared" si="4"/>
        <v>0</v>
      </c>
      <c r="AE8" s="61">
        <f>员工业绩!T28</f>
        <v>0.5</v>
      </c>
      <c r="AF8" s="65">
        <f t="shared" si="5"/>
        <v>0.5</v>
      </c>
      <c r="AG8" s="61">
        <f t="shared" si="6"/>
        <v>96.008653628117912</v>
      </c>
      <c r="AH8" s="70">
        <v>28000</v>
      </c>
      <c r="AI8" s="71">
        <f t="shared" si="7"/>
        <v>26882.423015873017</v>
      </c>
    </row>
    <row r="9" spans="1:35" ht="18" customHeight="1" x14ac:dyDescent="0.2">
      <c r="A9" s="47" t="s">
        <v>282</v>
      </c>
      <c r="B9" s="47" t="s">
        <v>222</v>
      </c>
      <c r="C9" s="48">
        <f>员工业绩!U5</f>
        <v>30.8</v>
      </c>
      <c r="D9" s="48">
        <f>员工业绩!U6</f>
        <v>13.825000000000001</v>
      </c>
      <c r="E9" s="48">
        <f>员工业绩!U7</f>
        <v>8.8666666666666671</v>
      </c>
      <c r="F9" s="48">
        <f>员工业绩!U8</f>
        <v>6.1249999999999991</v>
      </c>
      <c r="G9" s="48">
        <f>员工业绩!U9</f>
        <v>2.5666666666666669</v>
      </c>
      <c r="H9" s="48">
        <f>员工业绩!U10</f>
        <v>3.5</v>
      </c>
      <c r="I9" s="48">
        <f>员工业绩!U11</f>
        <v>2.5142857142857142</v>
      </c>
      <c r="J9" s="48">
        <f>员工业绩!U12</f>
        <v>2.2574999999999998</v>
      </c>
      <c r="K9" s="48">
        <f>员工业绩!U13</f>
        <v>2.2866666666666662</v>
      </c>
      <c r="L9" s="69">
        <f t="shared" si="0"/>
        <v>72.741785714285712</v>
      </c>
      <c r="M9" s="61">
        <f>员工业绩!U14</f>
        <v>4</v>
      </c>
      <c r="N9" s="48">
        <f>员工业绩!U15</f>
        <v>4</v>
      </c>
      <c r="O9" s="48">
        <f>员工业绩!U16</f>
        <v>3.591836734693878</v>
      </c>
      <c r="P9" s="48">
        <f>员工业绩!U17</f>
        <v>2.6938775510204085</v>
      </c>
      <c r="Q9" s="48">
        <f>员工业绩!U18</f>
        <v>2.8571428571428577</v>
      </c>
      <c r="R9" s="65">
        <f t="shared" si="1"/>
        <v>17.142857142857146</v>
      </c>
      <c r="S9" s="61">
        <f>员工业绩!U19</f>
        <v>5.5555555555555562</v>
      </c>
      <c r="T9" s="48">
        <f>员工业绩!U20</f>
        <v>3.8888888888888888</v>
      </c>
      <c r="U9" s="65">
        <f t="shared" si="2"/>
        <v>9.4444444444444446</v>
      </c>
      <c r="V9" s="62">
        <f t="shared" si="3"/>
        <v>99.329087301587307</v>
      </c>
      <c r="W9" s="61">
        <f>员工业绩!U21</f>
        <v>0</v>
      </c>
      <c r="X9" s="48">
        <f>员工业绩!U22</f>
        <v>0</v>
      </c>
      <c r="Y9" s="48">
        <f>员工业绩!U23</f>
        <v>0</v>
      </c>
      <c r="Z9" s="48">
        <f>员工业绩!U24</f>
        <v>0</v>
      </c>
      <c r="AA9" s="48">
        <f>员工业绩!U25</f>
        <v>0</v>
      </c>
      <c r="AB9" s="48">
        <f>员工业绩!U26</f>
        <v>0</v>
      </c>
      <c r="AC9" s="48">
        <f>员工业绩!U27</f>
        <v>0</v>
      </c>
      <c r="AD9" s="65">
        <f t="shared" si="4"/>
        <v>0</v>
      </c>
      <c r="AE9" s="61">
        <f>员工业绩!U28</f>
        <v>3</v>
      </c>
      <c r="AF9" s="65">
        <f t="shared" si="5"/>
        <v>3</v>
      </c>
      <c r="AG9" s="61">
        <f t="shared" si="6"/>
        <v>102.32908730158731</v>
      </c>
      <c r="AH9" s="70">
        <v>28000</v>
      </c>
      <c r="AI9" s="71">
        <f t="shared" si="7"/>
        <v>28652.144444444446</v>
      </c>
    </row>
    <row r="10" spans="1:35" ht="18" customHeight="1" x14ac:dyDescent="0.2">
      <c r="A10" s="47" t="s">
        <v>283</v>
      </c>
      <c r="B10" s="47" t="s">
        <v>223</v>
      </c>
      <c r="C10" s="48">
        <f>员工业绩!V5</f>
        <v>27.776</v>
      </c>
      <c r="D10" s="48">
        <f>员工业绩!V6</f>
        <v>16.8</v>
      </c>
      <c r="E10" s="48">
        <f>员工业绩!V7</f>
        <v>5.8333333333333339</v>
      </c>
      <c r="F10" s="48">
        <f>员工业绩!V8</f>
        <v>7</v>
      </c>
      <c r="G10" s="48">
        <f>员工业绩!V9</f>
        <v>2.0222222222222226</v>
      </c>
      <c r="H10" s="48">
        <f>员工业绩!V10</f>
        <v>1.5</v>
      </c>
      <c r="I10" s="48">
        <f>员工业绩!V11</f>
        <v>2.8000000000000003</v>
      </c>
      <c r="J10" s="48">
        <f>员工业绩!V12</f>
        <v>2.2837499999999995</v>
      </c>
      <c r="K10" s="48">
        <f>员工业绩!V13</f>
        <v>0.97999999999999987</v>
      </c>
      <c r="L10" s="69">
        <f t="shared" si="0"/>
        <v>66.995305555555561</v>
      </c>
      <c r="M10" s="61">
        <f>员工业绩!V14</f>
        <v>4</v>
      </c>
      <c r="N10" s="48">
        <f>员工业绩!V15</f>
        <v>4</v>
      </c>
      <c r="O10" s="48">
        <f>员工业绩!V16</f>
        <v>4</v>
      </c>
      <c r="P10" s="48">
        <f>员工业绩!V17</f>
        <v>2.1224489795918369</v>
      </c>
      <c r="Q10" s="48">
        <f>员工业绩!V18</f>
        <v>3.2653061224489797</v>
      </c>
      <c r="R10" s="65">
        <f t="shared" si="1"/>
        <v>17.387755102040817</v>
      </c>
      <c r="S10" s="61">
        <f>员工业绩!V19</f>
        <v>5</v>
      </c>
      <c r="T10" s="48">
        <f>员工业绩!V20</f>
        <v>4.4444444444444455</v>
      </c>
      <c r="U10" s="65">
        <f t="shared" si="2"/>
        <v>9.4444444444444464</v>
      </c>
      <c r="V10" s="62">
        <f t="shared" si="3"/>
        <v>93.827505102040817</v>
      </c>
      <c r="W10" s="61">
        <f>员工业绩!V21</f>
        <v>0</v>
      </c>
      <c r="X10" s="48">
        <f>员工业绩!V22</f>
        <v>0</v>
      </c>
      <c r="Y10" s="48">
        <f>员工业绩!V23</f>
        <v>0</v>
      </c>
      <c r="Z10" s="48">
        <f>员工业绩!V24</f>
        <v>0</v>
      </c>
      <c r="AA10" s="48">
        <f>员工业绩!V25</f>
        <v>0</v>
      </c>
      <c r="AB10" s="48">
        <f>员工业绩!V26</f>
        <v>0</v>
      </c>
      <c r="AC10" s="48">
        <f>员工业绩!V27</f>
        <v>0</v>
      </c>
      <c r="AD10" s="65">
        <f t="shared" si="4"/>
        <v>0</v>
      </c>
      <c r="AE10" s="61">
        <f>员工业绩!V28</f>
        <v>3.5</v>
      </c>
      <c r="AF10" s="65">
        <f t="shared" si="5"/>
        <v>3.5</v>
      </c>
      <c r="AG10" s="61">
        <f t="shared" si="6"/>
        <v>97.327505102040817</v>
      </c>
      <c r="AH10" s="70">
        <v>28000</v>
      </c>
      <c r="AI10" s="71">
        <f t="shared" si="7"/>
        <v>27251.701428571429</v>
      </c>
    </row>
    <row r="11" spans="1:35" ht="18" customHeight="1" x14ac:dyDescent="0.2">
      <c r="A11" s="47" t="s">
        <v>282</v>
      </c>
      <c r="B11" s="47" t="s">
        <v>224</v>
      </c>
      <c r="C11" s="48">
        <f>员工业绩!W5</f>
        <v>28.996799999999997</v>
      </c>
      <c r="D11" s="48">
        <f>员工业绩!W6</f>
        <v>14</v>
      </c>
      <c r="E11" s="48">
        <f>员工业绩!W7</f>
        <v>6.4166666666666679</v>
      </c>
      <c r="F11" s="48">
        <f>员工业绩!W8</f>
        <v>7.875</v>
      </c>
      <c r="G11" s="48">
        <f>员工业绩!W9</f>
        <v>3.5</v>
      </c>
      <c r="H11" s="48">
        <f>员工业绩!W10</f>
        <v>3.5</v>
      </c>
      <c r="I11" s="48">
        <f>员工业绩!W11</f>
        <v>2.1714285714285713</v>
      </c>
      <c r="J11" s="48">
        <f>员工业绩!W12</f>
        <v>1.96875</v>
      </c>
      <c r="K11" s="48">
        <f>员工业绩!W13</f>
        <v>2.2866666666666662</v>
      </c>
      <c r="L11" s="69">
        <f t="shared" si="0"/>
        <v>70.715311904761904</v>
      </c>
      <c r="M11" s="61">
        <f>员工业绩!W14</f>
        <v>0</v>
      </c>
      <c r="N11" s="48">
        <f>员工业绩!W15</f>
        <v>4</v>
      </c>
      <c r="O11" s="48">
        <f>员工业绩!W16</f>
        <v>3.1020408163265309</v>
      </c>
      <c r="P11" s="48">
        <f>员工业绩!W17</f>
        <v>3.6734693877551026</v>
      </c>
      <c r="Q11" s="48">
        <f>员工业绩!W18</f>
        <v>3.6734693877551026</v>
      </c>
      <c r="R11" s="65">
        <f t="shared" si="1"/>
        <v>14.448979591836736</v>
      </c>
      <c r="S11" s="61">
        <f>员工业绩!W19</f>
        <v>2.7777777777777781</v>
      </c>
      <c r="T11" s="48">
        <f>员工业绩!W20</f>
        <v>5</v>
      </c>
      <c r="U11" s="65">
        <f t="shared" si="2"/>
        <v>7.7777777777777786</v>
      </c>
      <c r="V11" s="62">
        <f t="shared" si="3"/>
        <v>92.942069274376422</v>
      </c>
      <c r="W11" s="61">
        <f>员工业绩!W21</f>
        <v>0</v>
      </c>
      <c r="X11" s="48">
        <f>员工业绩!W22</f>
        <v>0</v>
      </c>
      <c r="Y11" s="48">
        <f>员工业绩!W23</f>
        <v>0</v>
      </c>
      <c r="Z11" s="48">
        <f>员工业绩!W24</f>
        <v>0</v>
      </c>
      <c r="AA11" s="48">
        <f>员工业绩!W25</f>
        <v>0</v>
      </c>
      <c r="AB11" s="48">
        <f>员工业绩!W26</f>
        <v>0</v>
      </c>
      <c r="AC11" s="48">
        <f>员工业绩!W27</f>
        <v>0</v>
      </c>
      <c r="AD11" s="65">
        <f t="shared" si="4"/>
        <v>0</v>
      </c>
      <c r="AE11" s="61">
        <f>员工业绩!W28</f>
        <v>0</v>
      </c>
      <c r="AF11" s="65">
        <f t="shared" si="5"/>
        <v>0</v>
      </c>
      <c r="AG11" s="61">
        <f t="shared" si="6"/>
        <v>92.942069274376422</v>
      </c>
      <c r="AH11" s="70">
        <v>28000</v>
      </c>
      <c r="AI11" s="71">
        <f t="shared" si="7"/>
        <v>26023.779396825401</v>
      </c>
    </row>
    <row r="12" spans="1:35" ht="18" customHeight="1" x14ac:dyDescent="0.2">
      <c r="A12" s="47" t="s">
        <v>295</v>
      </c>
      <c r="B12" s="47" t="s">
        <v>295</v>
      </c>
      <c r="C12" s="48">
        <f>SUM(C4:C11)</f>
        <v>205.73280000000003</v>
      </c>
      <c r="D12" s="48">
        <f t="shared" ref="D12:U12" si="8">SUM(D4:D11)</f>
        <v>112.52499999999999</v>
      </c>
      <c r="E12" s="48">
        <f t="shared" si="8"/>
        <v>59.850000000000009</v>
      </c>
      <c r="F12" s="48">
        <f t="shared" si="8"/>
        <v>57.75</v>
      </c>
      <c r="G12" s="48">
        <f t="shared" si="8"/>
        <v>27.883333333333333</v>
      </c>
      <c r="H12" s="48">
        <f t="shared" si="8"/>
        <v>25.285714285714285</v>
      </c>
      <c r="I12" s="48">
        <f t="shared" si="8"/>
        <v>22.335714285714285</v>
      </c>
      <c r="J12" s="48">
        <f t="shared" si="8"/>
        <v>18.423392857142858</v>
      </c>
      <c r="K12" s="48">
        <f t="shared" si="8"/>
        <v>16.333333333333332</v>
      </c>
      <c r="L12" s="69">
        <f t="shared" si="8"/>
        <v>546.11928809523806</v>
      </c>
      <c r="M12" s="61">
        <f t="shared" si="8"/>
        <v>18.309999999999999</v>
      </c>
      <c r="N12" s="48">
        <f t="shared" si="8"/>
        <v>31.2</v>
      </c>
      <c r="O12" s="48">
        <f t="shared" si="8"/>
        <v>30.448979591836739</v>
      </c>
      <c r="P12" s="48">
        <f t="shared" si="8"/>
        <v>25.959183673469393</v>
      </c>
      <c r="Q12" s="48">
        <f t="shared" si="8"/>
        <v>28.163265306122451</v>
      </c>
      <c r="R12" s="65">
        <f t="shared" si="8"/>
        <v>134.0814285714286</v>
      </c>
      <c r="S12" s="61">
        <f t="shared" si="8"/>
        <v>36.709750566893426</v>
      </c>
      <c r="T12" s="48">
        <f t="shared" si="8"/>
        <v>37.222222222222229</v>
      </c>
      <c r="U12" s="65">
        <f t="shared" si="8"/>
        <v>73.931972789115662</v>
      </c>
      <c r="V12" s="62">
        <f t="shared" ref="V12" si="9">SUM(V4:V11)</f>
        <v>754.13268945578227</v>
      </c>
      <c r="W12" s="61">
        <f t="shared" ref="W12" si="10">SUM(W4:W11)</f>
        <v>4.4444444444444455</v>
      </c>
      <c r="X12" s="48">
        <f t="shared" ref="X12" si="11">SUM(X4:X11)</f>
        <v>5</v>
      </c>
      <c r="Y12" s="48">
        <f t="shared" ref="Y12" si="12">SUM(Y4:Y11)</f>
        <v>0</v>
      </c>
      <c r="Z12" s="48">
        <f t="shared" ref="Z12" si="13">SUM(Z4:Z11)</f>
        <v>0</v>
      </c>
      <c r="AA12" s="48">
        <f t="shared" ref="AA12" si="14">SUM(AA4:AA11)</f>
        <v>0</v>
      </c>
      <c r="AB12" s="48">
        <f t="shared" ref="AB12" si="15">SUM(AB4:AB11)</f>
        <v>0</v>
      </c>
      <c r="AC12" s="48">
        <f t="shared" ref="AC12" si="16">SUM(AC4:AC11)</f>
        <v>-2</v>
      </c>
      <c r="AD12" s="65">
        <f t="shared" ref="AD12" si="17">SUM(AD4:AD11)</f>
        <v>7.4444444444444455</v>
      </c>
      <c r="AE12" s="61">
        <f t="shared" ref="AE12" si="18">SUM(AE4:AE11)</f>
        <v>10.5</v>
      </c>
      <c r="AF12" s="65">
        <f t="shared" ref="AF12" si="19">SUM(AF4:AF11)</f>
        <v>10.5</v>
      </c>
      <c r="AG12" s="61">
        <f>SUM(AG4:AG11)</f>
        <v>772.07713390022673</v>
      </c>
      <c r="AH12" s="70">
        <v>28000</v>
      </c>
      <c r="AI12" s="71">
        <f>SUM(AI4:AI11)</f>
        <v>216181.59749206351</v>
      </c>
    </row>
    <row r="13" spans="1:35" ht="18" customHeight="1" x14ac:dyDescent="0.2">
      <c r="A13" s="47" t="s">
        <v>284</v>
      </c>
      <c r="B13" s="47" t="s">
        <v>225</v>
      </c>
      <c r="C13" s="48">
        <f>员工业绩!P33</f>
        <v>26.526315789473685</v>
      </c>
      <c r="D13" s="48">
        <f>员工业绩!P34</f>
        <v>14.75</v>
      </c>
      <c r="E13" s="48">
        <f>员工业绩!P35</f>
        <v>6.8478260869565224</v>
      </c>
      <c r="F13" s="48">
        <f>员工业绩!P36</f>
        <v>7</v>
      </c>
      <c r="G13" s="48">
        <f>员工业绩!P37</f>
        <v>4.55</v>
      </c>
      <c r="H13" s="48">
        <f>员工业绩!P38</f>
        <v>3.9375</v>
      </c>
      <c r="I13" s="48">
        <f>员工业绩!P39</f>
        <v>4.8275862068965516</v>
      </c>
      <c r="J13" s="48">
        <f>员工业绩!P40</f>
        <v>1.68</v>
      </c>
      <c r="K13" s="48">
        <f>员工业绩!P41</f>
        <v>3.712499999999999</v>
      </c>
      <c r="L13" s="69">
        <f t="shared" si="0"/>
        <v>73.831728083326766</v>
      </c>
      <c r="M13" s="61">
        <f>员工业绩!P42</f>
        <v>4</v>
      </c>
      <c r="N13" s="48">
        <f>员工业绩!P43</f>
        <v>4</v>
      </c>
      <c r="O13" s="48">
        <f>员工业绩!P44</f>
        <v>3.6326530612244903</v>
      </c>
      <c r="P13" s="48">
        <f>员工业绩!P45</f>
        <v>3.1020408163265309</v>
      </c>
      <c r="Q13" s="48">
        <f>员工业绩!P46</f>
        <v>3.591836734693878</v>
      </c>
      <c r="R13" s="65">
        <f t="shared" si="1"/>
        <v>18.326530612244898</v>
      </c>
      <c r="S13" s="61">
        <f>员工业绩!P47</f>
        <v>5</v>
      </c>
      <c r="T13" s="48">
        <f>员工业绩!P48</f>
        <v>4.166666666666667</v>
      </c>
      <c r="U13" s="65">
        <f t="shared" si="2"/>
        <v>9.1666666666666679</v>
      </c>
      <c r="V13" s="62">
        <f t="shared" si="3"/>
        <v>101.32492536223833</v>
      </c>
      <c r="W13" s="61">
        <f>员工业绩!P49</f>
        <v>0</v>
      </c>
      <c r="X13" s="48">
        <f>员工业绩!P50</f>
        <v>0</v>
      </c>
      <c r="Y13" s="48">
        <f>员工业绩!P51</f>
        <v>0</v>
      </c>
      <c r="Z13" s="48">
        <f>员工业绩!P52</f>
        <v>0</v>
      </c>
      <c r="AA13" s="48">
        <f>员工业绩!P53</f>
        <v>0</v>
      </c>
      <c r="AB13" s="48">
        <f>员工业绩!P54</f>
        <v>0</v>
      </c>
      <c r="AC13" s="48">
        <f>员工业绩!P55</f>
        <v>0</v>
      </c>
      <c r="AD13" s="65">
        <f t="shared" si="4"/>
        <v>0</v>
      </c>
      <c r="AE13" s="61">
        <f>员工业绩!P56</f>
        <v>-2.5</v>
      </c>
      <c r="AF13" s="65">
        <f t="shared" si="5"/>
        <v>-2.5</v>
      </c>
      <c r="AG13" s="61">
        <f t="shared" si="6"/>
        <v>98.824925362238332</v>
      </c>
      <c r="AH13" s="70">
        <v>25000</v>
      </c>
      <c r="AI13" s="71">
        <f t="shared" si="7"/>
        <v>24706.231340559581</v>
      </c>
    </row>
    <row r="14" spans="1:35" ht="18" customHeight="1" x14ac:dyDescent="0.2">
      <c r="A14" s="47" t="s">
        <v>284</v>
      </c>
      <c r="B14" s="47" t="s">
        <v>226</v>
      </c>
      <c r="C14" s="48">
        <f>员工业绩!Q33</f>
        <v>27.115789473684217</v>
      </c>
      <c r="D14" s="48">
        <f>员工业绩!Q34</f>
        <v>9.125</v>
      </c>
      <c r="E14" s="48">
        <f>员工业绩!Q35</f>
        <v>4.8695652173913047</v>
      </c>
      <c r="F14" s="48">
        <f>员工业绩!Q36</f>
        <v>7</v>
      </c>
      <c r="G14" s="48">
        <f>员工业绩!Q37</f>
        <v>5.74</v>
      </c>
      <c r="H14" s="48">
        <f>员工业绩!Q38</f>
        <v>3.9772727272727275</v>
      </c>
      <c r="I14" s="48">
        <f>员工业绩!Q39</f>
        <v>4.8275862068965516</v>
      </c>
      <c r="J14" s="48">
        <f>员工业绩!Q40</f>
        <v>1.8899999999999995</v>
      </c>
      <c r="K14" s="48">
        <f>员工业绩!Q41</f>
        <v>3.7499999999999996</v>
      </c>
      <c r="L14" s="69">
        <f t="shared" si="0"/>
        <v>68.295213625244799</v>
      </c>
      <c r="M14" s="61">
        <f>员工业绩!Q42</f>
        <v>4</v>
      </c>
      <c r="N14" s="48">
        <f>员工业绩!Q43</f>
        <v>4</v>
      </c>
      <c r="O14" s="48">
        <f>员工业绩!Q44</f>
        <v>3.7551020408163271</v>
      </c>
      <c r="P14" s="48">
        <f>员工业绩!Q45</f>
        <v>3.3469387755102042</v>
      </c>
      <c r="Q14" s="48">
        <f>员工业绩!Q46</f>
        <v>3.2653061224489797</v>
      </c>
      <c r="R14" s="65">
        <f t="shared" si="1"/>
        <v>18.367346938775512</v>
      </c>
      <c r="S14" s="61">
        <f>员工业绩!Q47</f>
        <v>5.1111111111111107</v>
      </c>
      <c r="T14" s="48">
        <f>员工业绩!Q48</f>
        <v>4.4444444444444455</v>
      </c>
      <c r="U14" s="65">
        <f t="shared" si="2"/>
        <v>9.5555555555555571</v>
      </c>
      <c r="V14" s="62">
        <f t="shared" si="3"/>
        <v>96.218116119575868</v>
      </c>
      <c r="W14" s="61">
        <f>员工业绩!Q49</f>
        <v>0</v>
      </c>
      <c r="X14" s="48">
        <f>员工业绩!Q50</f>
        <v>0</v>
      </c>
      <c r="Y14" s="48">
        <f>员工业绩!Q51</f>
        <v>0</v>
      </c>
      <c r="Z14" s="48">
        <f>员工业绩!Q52</f>
        <v>0</v>
      </c>
      <c r="AA14" s="48">
        <f>员工业绩!Q53</f>
        <v>0</v>
      </c>
      <c r="AB14" s="48">
        <f>员工业绩!Q54</f>
        <v>0</v>
      </c>
      <c r="AC14" s="48">
        <f>员工业绩!Q55</f>
        <v>0</v>
      </c>
      <c r="AD14" s="65">
        <f t="shared" si="4"/>
        <v>0</v>
      </c>
      <c r="AE14" s="61">
        <f>员工业绩!Q56</f>
        <v>4</v>
      </c>
      <c r="AF14" s="65">
        <f t="shared" si="5"/>
        <v>4</v>
      </c>
      <c r="AG14" s="61">
        <f t="shared" si="6"/>
        <v>100.21811611957587</v>
      </c>
      <c r="AH14" s="70">
        <v>25000</v>
      </c>
      <c r="AI14" s="71">
        <f t="shared" si="7"/>
        <v>25054.529029893969</v>
      </c>
    </row>
    <row r="15" spans="1:35" ht="18" customHeight="1" x14ac:dyDescent="0.2">
      <c r="A15" s="47" t="s">
        <v>284</v>
      </c>
      <c r="B15" s="47" t="s">
        <v>227</v>
      </c>
      <c r="C15" s="48">
        <f>员工业绩!R33</f>
        <v>25.936842105263157</v>
      </c>
      <c r="D15" s="48">
        <f>员工业绩!R34</f>
        <v>14.999999999999998</v>
      </c>
      <c r="E15" s="48">
        <f>员工业绩!R35</f>
        <v>7.608695652173914</v>
      </c>
      <c r="F15" s="48">
        <f>员工业绩!R36</f>
        <v>7.1749999999999989</v>
      </c>
      <c r="G15" s="48">
        <f>员工业绩!R37</f>
        <v>5.32</v>
      </c>
      <c r="H15" s="48">
        <f>员工业绩!R38</f>
        <v>3.8977272727272729</v>
      </c>
      <c r="I15" s="48">
        <f>员工业绩!R39</f>
        <v>4.7310344827586208</v>
      </c>
      <c r="J15" s="48">
        <f>员工业绩!R40</f>
        <v>1.26</v>
      </c>
      <c r="K15" s="48">
        <f>员工业绩!R41</f>
        <v>3.6749999999999989</v>
      </c>
      <c r="L15" s="69">
        <f t="shared" si="0"/>
        <v>74.60429951292295</v>
      </c>
      <c r="M15" s="61">
        <f>员工业绩!R42</f>
        <v>0</v>
      </c>
      <c r="N15" s="48">
        <f>员工业绩!R43</f>
        <v>4</v>
      </c>
      <c r="O15" s="48">
        <f>员工业绩!R44</f>
        <v>4</v>
      </c>
      <c r="P15" s="48">
        <f>员工业绩!R45</f>
        <v>3.1020408163265309</v>
      </c>
      <c r="Q15" s="48">
        <f>员工业绩!R46</f>
        <v>3.3469387755102042</v>
      </c>
      <c r="R15" s="65">
        <f t="shared" si="1"/>
        <v>14.448979591836736</v>
      </c>
      <c r="S15" s="61">
        <f>员工业绩!R47</f>
        <v>4.8888888888888893</v>
      </c>
      <c r="T15" s="48">
        <f>员工业绩!R48</f>
        <v>4.5555555555555554</v>
      </c>
      <c r="U15" s="65">
        <f t="shared" si="2"/>
        <v>9.4444444444444446</v>
      </c>
      <c r="V15" s="62">
        <f t="shared" si="3"/>
        <v>98.497723549204125</v>
      </c>
      <c r="W15" s="61">
        <f>员工业绩!R49</f>
        <v>0</v>
      </c>
      <c r="X15" s="48">
        <f>员工业绩!R50</f>
        <v>5</v>
      </c>
      <c r="Y15" s="48">
        <f>员工业绩!R51</f>
        <v>0</v>
      </c>
      <c r="Z15" s="48">
        <f>员工业绩!R52</f>
        <v>0</v>
      </c>
      <c r="AA15" s="48">
        <f>员工业绩!R53</f>
        <v>0</v>
      </c>
      <c r="AB15" s="48">
        <f>员工业绩!R54</f>
        <v>0</v>
      </c>
      <c r="AC15" s="48">
        <f>员工业绩!R55</f>
        <v>0</v>
      </c>
      <c r="AD15" s="65">
        <f t="shared" si="4"/>
        <v>5</v>
      </c>
      <c r="AE15" s="61">
        <f>员工业绩!R56</f>
        <v>-10</v>
      </c>
      <c r="AF15" s="65">
        <f t="shared" si="5"/>
        <v>-10</v>
      </c>
      <c r="AG15" s="61">
        <f t="shared" si="6"/>
        <v>93.497723549204125</v>
      </c>
      <c r="AH15" s="70">
        <v>25000</v>
      </c>
      <c r="AI15" s="71">
        <f t="shared" si="7"/>
        <v>23374.430887301034</v>
      </c>
    </row>
    <row r="16" spans="1:35" ht="18" customHeight="1" x14ac:dyDescent="0.2">
      <c r="A16" s="47" t="s">
        <v>284</v>
      </c>
      <c r="B16" s="47" t="s">
        <v>228</v>
      </c>
      <c r="C16" s="48">
        <f>员工业绩!S33</f>
        <v>25.347368421052632</v>
      </c>
      <c r="D16" s="48">
        <f>员工业绩!S34</f>
        <v>12.849999999999998</v>
      </c>
      <c r="E16" s="48">
        <f>员工业绩!S35</f>
        <v>7.304347826086957</v>
      </c>
      <c r="F16" s="48">
        <f>员工业绩!S36</f>
        <v>8.5749999999999993</v>
      </c>
      <c r="G16" s="48">
        <f>员工业绩!S37</f>
        <v>4.9000000000000004</v>
      </c>
      <c r="H16" s="48">
        <f>员工业绩!S38</f>
        <v>3.5</v>
      </c>
      <c r="I16" s="48">
        <f>员工业绩!S39</f>
        <v>4.7310344827586208</v>
      </c>
      <c r="J16" s="48">
        <f>员工业绩!S40</f>
        <v>3.7799999999999989</v>
      </c>
      <c r="K16" s="48">
        <f>员工业绩!S41</f>
        <v>3.2999999999999994</v>
      </c>
      <c r="L16" s="69">
        <f t="shared" si="0"/>
        <v>74.287750729898207</v>
      </c>
      <c r="M16" s="61">
        <f>员工业绩!S42</f>
        <v>4</v>
      </c>
      <c r="N16" s="48">
        <f>员工业绩!S43</f>
        <v>4</v>
      </c>
      <c r="O16" s="48">
        <f>员工业绩!S44</f>
        <v>3.591836734693878</v>
      </c>
      <c r="P16" s="48">
        <f>员工业绩!S45</f>
        <v>3.6734693877551026</v>
      </c>
      <c r="Q16" s="48">
        <f>员工业绩!S46</f>
        <v>4</v>
      </c>
      <c r="R16" s="65">
        <f t="shared" si="1"/>
        <v>19.26530612244898</v>
      </c>
      <c r="S16" s="61">
        <f>员工业绩!S47</f>
        <v>4.7777777777777777</v>
      </c>
      <c r="T16" s="48">
        <f>员工业绩!S48</f>
        <v>5.4444444444444446</v>
      </c>
      <c r="U16" s="65">
        <f t="shared" si="2"/>
        <v>10.222222222222221</v>
      </c>
      <c r="V16" s="62">
        <f t="shared" si="3"/>
        <v>103.7752790745694</v>
      </c>
      <c r="W16" s="61">
        <f>员工业绩!S49</f>
        <v>0</v>
      </c>
      <c r="X16" s="48">
        <f>员工业绩!S50</f>
        <v>0</v>
      </c>
      <c r="Y16" s="48">
        <f>员工业绩!S51</f>
        <v>0</v>
      </c>
      <c r="Z16" s="48">
        <f>员工业绩!S52</f>
        <v>0</v>
      </c>
      <c r="AA16" s="48">
        <f>员工业绩!S53</f>
        <v>0</v>
      </c>
      <c r="AB16" s="48">
        <f>员工业绩!S54</f>
        <v>0</v>
      </c>
      <c r="AC16" s="48">
        <f>员工业绩!S55</f>
        <v>0</v>
      </c>
      <c r="AD16" s="65">
        <f t="shared" si="4"/>
        <v>0</v>
      </c>
      <c r="AE16" s="61">
        <f>员工业绩!S56</f>
        <v>9.5</v>
      </c>
      <c r="AF16" s="65">
        <f t="shared" si="5"/>
        <v>9.5</v>
      </c>
      <c r="AG16" s="61">
        <f t="shared" si="6"/>
        <v>113.2752790745694</v>
      </c>
      <c r="AH16" s="70">
        <v>25000</v>
      </c>
      <c r="AI16" s="71">
        <f t="shared" si="7"/>
        <v>28318.819768642352</v>
      </c>
    </row>
    <row r="17" spans="1:35" ht="18" customHeight="1" x14ac:dyDescent="0.2">
      <c r="A17" s="47" t="s">
        <v>284</v>
      </c>
      <c r="B17" s="47" t="s">
        <v>229</v>
      </c>
      <c r="C17" s="48">
        <f>员工业绩!T33</f>
        <v>28.294736842105262</v>
      </c>
      <c r="D17" s="48">
        <f>员工业绩!T34</f>
        <v>16.049999999999997</v>
      </c>
      <c r="E17" s="48">
        <f>员工业绩!T35</f>
        <v>4.8695652173913047</v>
      </c>
      <c r="F17" s="48">
        <f>员工业绩!T36</f>
        <v>8.75</v>
      </c>
      <c r="G17" s="48">
        <f>员工业绩!T37</f>
        <v>5.67</v>
      </c>
      <c r="H17" s="48">
        <f>员工业绩!T38</f>
        <v>3.4204545454545454</v>
      </c>
      <c r="I17" s="48">
        <f>员工业绩!T39</f>
        <v>4.8275862068965516</v>
      </c>
      <c r="J17" s="48">
        <f>员工业绩!T40</f>
        <v>2.52</v>
      </c>
      <c r="K17" s="48">
        <f>员工业绩!T41</f>
        <v>3.2249999999999996</v>
      </c>
      <c r="L17" s="69">
        <f t="shared" si="0"/>
        <v>77.627342811847655</v>
      </c>
      <c r="M17" s="61">
        <f>员工业绩!T42</f>
        <v>0</v>
      </c>
      <c r="N17" s="48">
        <f>员工业绩!T43</f>
        <v>4</v>
      </c>
      <c r="O17" s="48">
        <f>员工业绩!T44</f>
        <v>3.6734693877551026</v>
      </c>
      <c r="P17" s="48">
        <f>员工业绩!T45</f>
        <v>3.3061224489795928</v>
      </c>
      <c r="Q17" s="48">
        <f>员工业绩!T46</f>
        <v>4.0816326530612255</v>
      </c>
      <c r="R17" s="65">
        <f t="shared" si="1"/>
        <v>15.06122448979592</v>
      </c>
      <c r="S17" s="61">
        <f>员工业绩!T47</f>
        <v>5.3333333333333339</v>
      </c>
      <c r="T17" s="48">
        <f>员工业绩!T48</f>
        <v>4.4444444444444455</v>
      </c>
      <c r="U17" s="65">
        <f t="shared" si="2"/>
        <v>9.7777777777777786</v>
      </c>
      <c r="V17" s="62">
        <f t="shared" si="3"/>
        <v>102.46634507942136</v>
      </c>
      <c r="W17" s="61">
        <f>员工业绩!T49</f>
        <v>0</v>
      </c>
      <c r="X17" s="48">
        <f>员工业绩!T50</f>
        <v>0</v>
      </c>
      <c r="Y17" s="48">
        <f>员工业绩!T51</f>
        <v>0</v>
      </c>
      <c r="Z17" s="48">
        <f>员工业绩!T52</f>
        <v>0</v>
      </c>
      <c r="AA17" s="48">
        <f>员工业绩!T53</f>
        <v>0</v>
      </c>
      <c r="AB17" s="48">
        <f>员工业绩!T54</f>
        <v>0</v>
      </c>
      <c r="AC17" s="48">
        <f>员工业绩!T55</f>
        <v>-2</v>
      </c>
      <c r="AD17" s="65">
        <f t="shared" si="4"/>
        <v>-2</v>
      </c>
      <c r="AE17" s="61">
        <f>员工业绩!T56</f>
        <v>0.5</v>
      </c>
      <c r="AF17" s="65">
        <f t="shared" si="5"/>
        <v>0.5</v>
      </c>
      <c r="AG17" s="61">
        <f t="shared" si="6"/>
        <v>100.96634507942136</v>
      </c>
      <c r="AH17" s="70">
        <v>25000</v>
      </c>
      <c r="AI17" s="71">
        <f t="shared" si="7"/>
        <v>25241.586269855339</v>
      </c>
    </row>
    <row r="18" spans="1:35" ht="18" customHeight="1" x14ac:dyDescent="0.2">
      <c r="A18" s="47" t="s">
        <v>284</v>
      </c>
      <c r="B18" s="47" t="s">
        <v>230</v>
      </c>
      <c r="C18" s="48">
        <f>员工业绩!U33</f>
        <v>29.473684210526315</v>
      </c>
      <c r="D18" s="48">
        <f>员工业绩!U34</f>
        <v>6.3450000000000006</v>
      </c>
      <c r="E18" s="48">
        <f>员工业绩!U35</f>
        <v>6.3913043478260878</v>
      </c>
      <c r="F18" s="48">
        <f>员工业绩!U36</f>
        <v>6.1249999999999991</v>
      </c>
      <c r="G18" s="48">
        <f>员工业绩!U37</f>
        <v>4.62</v>
      </c>
      <c r="H18" s="48">
        <f>员工业绩!U38</f>
        <v>3.8977272727272729</v>
      </c>
      <c r="I18" s="48">
        <f>员工业绩!U39</f>
        <v>4.248275862068966</v>
      </c>
      <c r="J18" s="48">
        <f>员工业绩!U40</f>
        <v>1.8899999999999995</v>
      </c>
      <c r="K18" s="48">
        <f>员工业绩!U41</f>
        <v>3.6749999999999989</v>
      </c>
      <c r="L18" s="69">
        <f t="shared" si="0"/>
        <v>66.665991693148641</v>
      </c>
      <c r="M18" s="61">
        <f>员工业绩!U42</f>
        <v>4</v>
      </c>
      <c r="N18" s="48">
        <f>员工业绩!U43</f>
        <v>4</v>
      </c>
      <c r="O18" s="48">
        <f>员工业绩!U44</f>
        <v>3.591836734693878</v>
      </c>
      <c r="P18" s="48">
        <f>员工业绩!U45</f>
        <v>2.6938775510204085</v>
      </c>
      <c r="Q18" s="48">
        <f>员工业绩!U46</f>
        <v>2.8571428571428577</v>
      </c>
      <c r="R18" s="65">
        <f t="shared" si="1"/>
        <v>17.142857142857146</v>
      </c>
      <c r="S18" s="61">
        <f>员工业绩!U47</f>
        <v>5.5555555555555562</v>
      </c>
      <c r="T18" s="48">
        <f>员工业绩!U48</f>
        <v>3.8888888888888888</v>
      </c>
      <c r="U18" s="65">
        <f t="shared" si="2"/>
        <v>9.4444444444444446</v>
      </c>
      <c r="V18" s="62">
        <f t="shared" si="3"/>
        <v>93.253293280450222</v>
      </c>
      <c r="W18" s="61">
        <f>员工业绩!U49</f>
        <v>0</v>
      </c>
      <c r="X18" s="48">
        <f>员工业绩!U50</f>
        <v>0</v>
      </c>
      <c r="Y18" s="48">
        <f>员工业绩!U51</f>
        <v>0</v>
      </c>
      <c r="Z18" s="48">
        <f>员工业绩!U52</f>
        <v>0</v>
      </c>
      <c r="AA18" s="48">
        <f>员工业绩!U53</f>
        <v>0</v>
      </c>
      <c r="AB18" s="48">
        <f>员工业绩!U54</f>
        <v>0</v>
      </c>
      <c r="AC18" s="48">
        <f>员工业绩!U55</f>
        <v>0</v>
      </c>
      <c r="AD18" s="65">
        <f t="shared" si="4"/>
        <v>0</v>
      </c>
      <c r="AE18" s="61">
        <f>员工业绩!U56</f>
        <v>3</v>
      </c>
      <c r="AF18" s="65">
        <f t="shared" si="5"/>
        <v>3</v>
      </c>
      <c r="AG18" s="61">
        <f t="shared" si="6"/>
        <v>96.253293280450222</v>
      </c>
      <c r="AH18" s="70">
        <v>25000</v>
      </c>
      <c r="AI18" s="71">
        <f t="shared" si="7"/>
        <v>24063.323320112555</v>
      </c>
    </row>
    <row r="19" spans="1:35" ht="18" customHeight="1" x14ac:dyDescent="0.2">
      <c r="A19" s="47" t="s">
        <v>284</v>
      </c>
      <c r="B19" s="47" t="s">
        <v>231</v>
      </c>
      <c r="C19" s="48">
        <f>员工业绩!V33</f>
        <v>26.526315789473685</v>
      </c>
      <c r="D19" s="48">
        <f>员工业绩!V34</f>
        <v>6.2799999999999994</v>
      </c>
      <c r="E19" s="48">
        <f>员工业绩!V35</f>
        <v>7.913043478260871</v>
      </c>
      <c r="F19" s="48">
        <f>员工业绩!V36</f>
        <v>7</v>
      </c>
      <c r="G19" s="48">
        <f>员工业绩!V37</f>
        <v>3.64</v>
      </c>
      <c r="H19" s="48">
        <f>员工业绩!V38</f>
        <v>1.6704545454545454</v>
      </c>
      <c r="I19" s="48">
        <f>员工业绩!V39</f>
        <v>4.7310344827586208</v>
      </c>
      <c r="J19" s="48">
        <f>员工业绩!V40</f>
        <v>3.5699999999999994</v>
      </c>
      <c r="K19" s="48">
        <f>员工业绩!V41</f>
        <v>1.5749999999999995</v>
      </c>
      <c r="L19" s="69">
        <f t="shared" si="0"/>
        <v>62.905848295947735</v>
      </c>
      <c r="M19" s="61">
        <f>员工业绩!V42</f>
        <v>4</v>
      </c>
      <c r="N19" s="48">
        <f>员工业绩!V43</f>
        <v>4</v>
      </c>
      <c r="O19" s="48">
        <f>员工业绩!V44</f>
        <v>4</v>
      </c>
      <c r="P19" s="48">
        <f>员工业绩!V45</f>
        <v>2.1224489795918369</v>
      </c>
      <c r="Q19" s="48">
        <f>员工业绩!V46</f>
        <v>3.2653061224489797</v>
      </c>
      <c r="R19" s="65">
        <f t="shared" si="1"/>
        <v>17.387755102040817</v>
      </c>
      <c r="S19" s="61">
        <f>员工业绩!V47</f>
        <v>5</v>
      </c>
      <c r="T19" s="48">
        <f>员工业绩!V48</f>
        <v>4.4444444444444455</v>
      </c>
      <c r="U19" s="65">
        <f t="shared" si="2"/>
        <v>9.4444444444444464</v>
      </c>
      <c r="V19" s="62">
        <f t="shared" si="3"/>
        <v>89.738047842432991</v>
      </c>
      <c r="W19" s="61">
        <f>员工业绩!V49</f>
        <v>0</v>
      </c>
      <c r="X19" s="48">
        <f>员工业绩!V50</f>
        <v>0</v>
      </c>
      <c r="Y19" s="48">
        <f>员工业绩!V51</f>
        <v>0</v>
      </c>
      <c r="Z19" s="48">
        <f>员工业绩!V52</f>
        <v>0</v>
      </c>
      <c r="AA19" s="48">
        <f>员工业绩!V53</f>
        <v>0</v>
      </c>
      <c r="AB19" s="48">
        <f>员工业绩!V54</f>
        <v>0</v>
      </c>
      <c r="AC19" s="48">
        <f>员工业绩!V55</f>
        <v>0</v>
      </c>
      <c r="AD19" s="65">
        <f t="shared" si="4"/>
        <v>0</v>
      </c>
      <c r="AE19" s="61">
        <f>员工业绩!V56</f>
        <v>3.5</v>
      </c>
      <c r="AF19" s="65">
        <f t="shared" si="5"/>
        <v>3.5</v>
      </c>
      <c r="AG19" s="61">
        <f t="shared" si="6"/>
        <v>93.238047842432991</v>
      </c>
      <c r="AH19" s="70">
        <v>25000</v>
      </c>
      <c r="AI19" s="71">
        <f t="shared" si="7"/>
        <v>23309.511960608248</v>
      </c>
    </row>
    <row r="20" spans="1:35" ht="18" customHeight="1" x14ac:dyDescent="0.2">
      <c r="A20" s="47" t="s">
        <v>296</v>
      </c>
      <c r="B20" s="47" t="s">
        <v>232</v>
      </c>
      <c r="C20" s="48">
        <f>员工业绩!W33</f>
        <v>14.736842105263158</v>
      </c>
      <c r="D20" s="48">
        <f>员工业绩!W34</f>
        <v>17.799999999999997</v>
      </c>
      <c r="E20" s="48">
        <f>员工业绩!W35</f>
        <v>7.304347826086957</v>
      </c>
      <c r="F20" s="48">
        <f>员工业绩!W36</f>
        <v>7.875</v>
      </c>
      <c r="G20" s="48">
        <f>员工业绩!W37</f>
        <v>6.16</v>
      </c>
      <c r="H20" s="48">
        <f>员工业绩!W38</f>
        <v>3.8977272727272729</v>
      </c>
      <c r="I20" s="48">
        <f>员工业绩!W39</f>
        <v>3.6689655172413791</v>
      </c>
      <c r="J20" s="48">
        <f>员工业绩!W40</f>
        <v>4.6199999999999992</v>
      </c>
      <c r="K20" s="48">
        <f>员工业绩!W41</f>
        <v>3.6749999999999989</v>
      </c>
      <c r="L20" s="69">
        <f t="shared" si="0"/>
        <v>69.737882721318769</v>
      </c>
      <c r="M20" s="61">
        <f>员工业绩!W42</f>
        <v>0</v>
      </c>
      <c r="N20" s="48">
        <f>员工业绩!W43</f>
        <v>4</v>
      </c>
      <c r="O20" s="48">
        <f>员工业绩!W44</f>
        <v>2.285714285714286</v>
      </c>
      <c r="P20" s="48">
        <f>员工业绩!W45</f>
        <v>3.6734693877551026</v>
      </c>
      <c r="Q20" s="48">
        <f>员工业绩!W46</f>
        <v>3.6734693877551026</v>
      </c>
      <c r="R20" s="65">
        <f t="shared" si="1"/>
        <v>13.632653061224492</v>
      </c>
      <c r="S20" s="61">
        <f>员工业绩!W47</f>
        <v>2.7777777777777781</v>
      </c>
      <c r="T20" s="48">
        <f>员工业绩!W48</f>
        <v>5</v>
      </c>
      <c r="U20" s="65">
        <f t="shared" si="2"/>
        <v>7.7777777777777786</v>
      </c>
      <c r="V20" s="62">
        <f t="shared" si="3"/>
        <v>91.148313560321043</v>
      </c>
      <c r="W20" s="61">
        <f>员工业绩!W49</f>
        <v>0</v>
      </c>
      <c r="X20" s="48">
        <f>员工业绩!W50</f>
        <v>0</v>
      </c>
      <c r="Y20" s="48">
        <f>员工业绩!W51</f>
        <v>0</v>
      </c>
      <c r="Z20" s="48">
        <f>员工业绩!W52</f>
        <v>0</v>
      </c>
      <c r="AA20" s="48">
        <f>员工业绩!W53</f>
        <v>0</v>
      </c>
      <c r="AB20" s="48">
        <f>员工业绩!W54</f>
        <v>0</v>
      </c>
      <c r="AC20" s="48">
        <f>员工业绩!W55</f>
        <v>0</v>
      </c>
      <c r="AD20" s="65">
        <f t="shared" si="4"/>
        <v>0</v>
      </c>
      <c r="AE20" s="61">
        <f>员工业绩!W56</f>
        <v>0</v>
      </c>
      <c r="AF20" s="65">
        <f t="shared" si="5"/>
        <v>0</v>
      </c>
      <c r="AG20" s="61">
        <f t="shared" si="6"/>
        <v>91.148313560321043</v>
      </c>
      <c r="AH20" s="70">
        <v>25000</v>
      </c>
      <c r="AI20" s="71">
        <f t="shared" si="7"/>
        <v>22787.078390080263</v>
      </c>
    </row>
    <row r="21" spans="1:35" ht="18" customHeight="1" x14ac:dyDescent="0.2">
      <c r="A21" s="47" t="s">
        <v>297</v>
      </c>
      <c r="B21" s="47" t="s">
        <v>297</v>
      </c>
      <c r="C21" s="48">
        <f>SUM(C13:C20)</f>
        <v>203.95789473684212</v>
      </c>
      <c r="D21" s="48">
        <f t="shared" ref="D21:AG21" si="20">SUM(D13:D20)</f>
        <v>98.199999999999989</v>
      </c>
      <c r="E21" s="48">
        <f t="shared" si="20"/>
        <v>53.108695652173921</v>
      </c>
      <c r="F21" s="48">
        <f t="shared" si="20"/>
        <v>59.5</v>
      </c>
      <c r="G21" s="48">
        <f t="shared" si="20"/>
        <v>40.599999999999994</v>
      </c>
      <c r="H21" s="48">
        <f t="shared" si="20"/>
        <v>28.19886363636364</v>
      </c>
      <c r="I21" s="48">
        <f t="shared" si="20"/>
        <v>36.593103448275862</v>
      </c>
      <c r="J21" s="48">
        <f t="shared" si="20"/>
        <v>21.209999999999994</v>
      </c>
      <c r="K21" s="48">
        <f t="shared" si="20"/>
        <v>26.587499999999991</v>
      </c>
      <c r="L21" s="69">
        <f t="shared" si="20"/>
        <v>567.95605747365551</v>
      </c>
      <c r="M21" s="61">
        <f t="shared" si="20"/>
        <v>20</v>
      </c>
      <c r="N21" s="48">
        <f t="shared" si="20"/>
        <v>32</v>
      </c>
      <c r="O21" s="48">
        <f t="shared" si="20"/>
        <v>28.530612244897959</v>
      </c>
      <c r="P21" s="48">
        <f t="shared" si="20"/>
        <v>25.020408163265312</v>
      </c>
      <c r="Q21" s="48">
        <f t="shared" si="20"/>
        <v>28.081632653061224</v>
      </c>
      <c r="R21" s="65">
        <f t="shared" si="20"/>
        <v>133.63265306122449</v>
      </c>
      <c r="S21" s="61">
        <f t="shared" si="20"/>
        <v>38.44444444444445</v>
      </c>
      <c r="T21" s="48">
        <f t="shared" si="20"/>
        <v>36.3888888888889</v>
      </c>
      <c r="U21" s="65">
        <f t="shared" si="20"/>
        <v>74.833333333333343</v>
      </c>
      <c r="V21" s="62">
        <f t="shared" si="20"/>
        <v>776.42204386821334</v>
      </c>
      <c r="W21" s="61">
        <f t="shared" si="20"/>
        <v>0</v>
      </c>
      <c r="X21" s="48">
        <f t="shared" si="20"/>
        <v>5</v>
      </c>
      <c r="Y21" s="48">
        <f t="shared" si="20"/>
        <v>0</v>
      </c>
      <c r="Z21" s="48">
        <f t="shared" si="20"/>
        <v>0</v>
      </c>
      <c r="AA21" s="48">
        <f t="shared" si="20"/>
        <v>0</v>
      </c>
      <c r="AB21" s="48">
        <f t="shared" si="20"/>
        <v>0</v>
      </c>
      <c r="AC21" s="48">
        <f t="shared" si="20"/>
        <v>-2</v>
      </c>
      <c r="AD21" s="65">
        <f t="shared" si="20"/>
        <v>3</v>
      </c>
      <c r="AE21" s="61">
        <f t="shared" si="20"/>
        <v>8</v>
      </c>
      <c r="AF21" s="65">
        <f t="shared" si="20"/>
        <v>8</v>
      </c>
      <c r="AG21" s="61">
        <f t="shared" si="20"/>
        <v>787.42204386821334</v>
      </c>
      <c r="AH21" s="70">
        <v>25000</v>
      </c>
      <c r="AI21" s="71">
        <f>SUM(AI13:AI20)</f>
        <v>196855.51096705336</v>
      </c>
    </row>
    <row r="22" spans="1:35" ht="18" customHeight="1" x14ac:dyDescent="0.2">
      <c r="A22" s="47" t="s">
        <v>285</v>
      </c>
      <c r="B22" s="47" t="s">
        <v>233</v>
      </c>
      <c r="C22" s="48">
        <f>员工业绩!P61</f>
        <v>8.6624999999999996</v>
      </c>
      <c r="D22" s="48">
        <f>员工业绩!P62</f>
        <v>27.72</v>
      </c>
      <c r="E22" s="48">
        <f>员工业绩!P63</f>
        <v>10.111111111111111</v>
      </c>
      <c r="F22" s="48">
        <f>员工业绩!P64</f>
        <v>6.2222222222222232</v>
      </c>
      <c r="G22" s="48">
        <f>员工业绩!P65</f>
        <v>3.2500000000000009</v>
      </c>
      <c r="H22" s="48">
        <f>员工业绩!P66</f>
        <v>4.95</v>
      </c>
      <c r="I22" s="48">
        <f>员工业绩!P67</f>
        <v>2.8000000000000003</v>
      </c>
      <c r="J22" s="48">
        <f>员工业绩!P68</f>
        <v>0.17684210526315791</v>
      </c>
      <c r="K22" s="48">
        <f>员工业绩!P69</f>
        <v>2.3099999999999996</v>
      </c>
      <c r="L22" s="69">
        <f t="shared" si="0"/>
        <v>66.202675438596486</v>
      </c>
      <c r="M22" s="61">
        <f>员工业绩!P70</f>
        <v>4</v>
      </c>
      <c r="N22" s="48">
        <f>员工业绩!P71</f>
        <v>4</v>
      </c>
      <c r="O22" s="48">
        <f>员工业绩!P72</f>
        <v>3.6326530612244903</v>
      </c>
      <c r="P22" s="48">
        <f>员工业绩!P73</f>
        <v>3.1020408163265309</v>
      </c>
      <c r="Q22" s="48">
        <f>员工业绩!P74</f>
        <v>4</v>
      </c>
      <c r="R22" s="65">
        <f t="shared" si="1"/>
        <v>18.73469387755102</v>
      </c>
      <c r="S22" s="61">
        <f>员工业绩!P75</f>
        <v>5</v>
      </c>
      <c r="T22" s="48">
        <f>员工业绩!P76</f>
        <v>4.166666666666667</v>
      </c>
      <c r="U22" s="65">
        <f t="shared" si="2"/>
        <v>9.1666666666666679</v>
      </c>
      <c r="V22" s="62">
        <f t="shared" si="3"/>
        <v>94.104035982814182</v>
      </c>
      <c r="W22" s="61">
        <f>员工业绩!P77</f>
        <v>0</v>
      </c>
      <c r="X22" s="48">
        <f>员工业绩!P78</f>
        <v>0</v>
      </c>
      <c r="Y22" s="48">
        <f>员工业绩!P79</f>
        <v>0</v>
      </c>
      <c r="Z22" s="48">
        <f>员工业绩!P80</f>
        <v>0</v>
      </c>
      <c r="AA22" s="48">
        <f>员工业绩!P81</f>
        <v>0</v>
      </c>
      <c r="AB22" s="48">
        <f>员工业绩!P82</f>
        <v>0</v>
      </c>
      <c r="AC22" s="48">
        <f>员工业绩!P83</f>
        <v>0</v>
      </c>
      <c r="AD22" s="65">
        <f t="shared" si="4"/>
        <v>0</v>
      </c>
      <c r="AE22" s="61">
        <f>员工业绩!P84</f>
        <v>7.5</v>
      </c>
      <c r="AF22" s="65">
        <f t="shared" si="5"/>
        <v>7.5</v>
      </c>
      <c r="AG22" s="61">
        <f t="shared" si="6"/>
        <v>101.60403598281418</v>
      </c>
      <c r="AH22" s="70">
        <v>27000</v>
      </c>
      <c r="AI22" s="71">
        <f t="shared" si="7"/>
        <v>27433.089715359831</v>
      </c>
    </row>
    <row r="23" spans="1:35" ht="18" customHeight="1" x14ac:dyDescent="0.2">
      <c r="A23" s="47" t="s">
        <v>285</v>
      </c>
      <c r="B23" s="47" t="s">
        <v>234</v>
      </c>
      <c r="C23" s="48">
        <f>员工业绩!Q61</f>
        <v>8.75</v>
      </c>
      <c r="D23" s="48">
        <f>员工业绩!Q62</f>
        <v>28</v>
      </c>
      <c r="E23" s="48">
        <f>员工业绩!Q63</f>
        <v>12.755555555555553</v>
      </c>
      <c r="F23" s="48">
        <f>员工业绩!Q64</f>
        <v>6.2222222222222232</v>
      </c>
      <c r="G23" s="48">
        <f>员工业绩!Q65</f>
        <v>4.1000000000000005</v>
      </c>
      <c r="H23" s="48">
        <f>员工业绩!Q66</f>
        <v>5</v>
      </c>
      <c r="I23" s="48">
        <f>员工业绩!Q67</f>
        <v>2.8000000000000003</v>
      </c>
      <c r="J23" s="48">
        <f>员工业绩!Q68</f>
        <v>0.19894736842105262</v>
      </c>
      <c r="K23" s="48">
        <f>员工业绩!Q69</f>
        <v>2.333333333333333</v>
      </c>
      <c r="L23" s="69">
        <f t="shared" si="0"/>
        <v>70.160058479532168</v>
      </c>
      <c r="M23" s="61">
        <f>员工业绩!Q70</f>
        <v>0</v>
      </c>
      <c r="N23" s="48">
        <f>员工业绩!Q71</f>
        <v>4</v>
      </c>
      <c r="O23" s="48">
        <f>员工业绩!Q72</f>
        <v>3.7551020408163271</v>
      </c>
      <c r="P23" s="48">
        <f>员工业绩!Q73</f>
        <v>3.3469387755102042</v>
      </c>
      <c r="Q23" s="48">
        <f>员工业绩!Q74</f>
        <v>3.591836734693878</v>
      </c>
      <c r="R23" s="65">
        <f t="shared" si="1"/>
        <v>14.69387755102041</v>
      </c>
      <c r="S23" s="61">
        <f>员工业绩!Q75</f>
        <v>5.1111111111111107</v>
      </c>
      <c r="T23" s="48">
        <f>员工业绩!Q76</f>
        <v>4.4444444444444455</v>
      </c>
      <c r="U23" s="65">
        <f t="shared" si="2"/>
        <v>9.5555555555555571</v>
      </c>
      <c r="V23" s="62">
        <f t="shared" si="3"/>
        <v>94.409491586108132</v>
      </c>
      <c r="W23" s="61">
        <f>员工业绩!Q77</f>
        <v>0</v>
      </c>
      <c r="X23" s="48">
        <f>员工业绩!Q78</f>
        <v>0</v>
      </c>
      <c r="Y23" s="48">
        <f>员工业绩!Q79</f>
        <v>0</v>
      </c>
      <c r="Z23" s="48">
        <f>员工业绩!Q80</f>
        <v>0</v>
      </c>
      <c r="AA23" s="48">
        <f>员工业绩!Q81</f>
        <v>0</v>
      </c>
      <c r="AB23" s="48">
        <f>员工业绩!Q82</f>
        <v>0</v>
      </c>
      <c r="AC23" s="48">
        <f>员工业绩!Q83</f>
        <v>0</v>
      </c>
      <c r="AD23" s="65">
        <f t="shared" si="4"/>
        <v>0</v>
      </c>
      <c r="AE23" s="61">
        <f>员工业绩!Q84</f>
        <v>8.8000000000000007</v>
      </c>
      <c r="AF23" s="65">
        <f t="shared" si="5"/>
        <v>8.8000000000000007</v>
      </c>
      <c r="AG23" s="61">
        <f t="shared" si="6"/>
        <v>103.20949158610813</v>
      </c>
      <c r="AH23" s="70">
        <v>27000</v>
      </c>
      <c r="AI23" s="71">
        <f t="shared" si="7"/>
        <v>27866.562728249191</v>
      </c>
    </row>
    <row r="24" spans="1:35" ht="18" customHeight="1" x14ac:dyDescent="0.2">
      <c r="A24" s="47" t="s">
        <v>285</v>
      </c>
      <c r="B24" s="47" t="s">
        <v>235</v>
      </c>
      <c r="C24" s="48">
        <f>员工业绩!R61</f>
        <v>8.5749999999999993</v>
      </c>
      <c r="D24" s="48">
        <f>员工业绩!R62</f>
        <v>27.439999999999998</v>
      </c>
      <c r="E24" s="48">
        <f>员工业绩!R63</f>
        <v>11.822222222222223</v>
      </c>
      <c r="F24" s="48">
        <f>员工业绩!R64</f>
        <v>6.3777777777777764</v>
      </c>
      <c r="G24" s="48">
        <f>员工业绩!R65</f>
        <v>3.8000000000000003</v>
      </c>
      <c r="H24" s="48">
        <f>员工业绩!R66</f>
        <v>4.9000000000000004</v>
      </c>
      <c r="I24" s="48">
        <f>员工业绩!R67</f>
        <v>2.7439999999999998</v>
      </c>
      <c r="J24" s="48">
        <f>员工业绩!R68</f>
        <v>0.13263157894736841</v>
      </c>
      <c r="K24" s="48">
        <f>员工业绩!R69</f>
        <v>2.2866666666666662</v>
      </c>
      <c r="L24" s="69">
        <f t="shared" si="0"/>
        <v>68.078298245614022</v>
      </c>
      <c r="M24" s="61">
        <f>员工业绩!R70</f>
        <v>4</v>
      </c>
      <c r="N24" s="48">
        <f>员工业绩!R71</f>
        <v>4</v>
      </c>
      <c r="O24" s="48">
        <f>员工业绩!R72</f>
        <v>4</v>
      </c>
      <c r="P24" s="48">
        <f>员工业绩!R73</f>
        <v>3.1020408163265309</v>
      </c>
      <c r="Q24" s="48">
        <f>员工业绩!R74</f>
        <v>3.3469387755102042</v>
      </c>
      <c r="R24" s="65">
        <f t="shared" si="1"/>
        <v>18.448979591836736</v>
      </c>
      <c r="S24" s="61">
        <f>员工业绩!R75</f>
        <v>4.8888888888888893</v>
      </c>
      <c r="T24" s="48">
        <f>员工业绩!R76</f>
        <v>4.5555555555555554</v>
      </c>
      <c r="U24" s="65">
        <f t="shared" si="2"/>
        <v>9.4444444444444446</v>
      </c>
      <c r="V24" s="62">
        <f t="shared" si="3"/>
        <v>95.971722281895197</v>
      </c>
      <c r="W24" s="61">
        <f>员工业绩!R77</f>
        <v>0</v>
      </c>
      <c r="X24" s="48">
        <f>员工业绩!R78</f>
        <v>5</v>
      </c>
      <c r="Y24" s="48">
        <f>员工业绩!R79</f>
        <v>0</v>
      </c>
      <c r="Z24" s="48">
        <f>员工业绩!R80</f>
        <v>0</v>
      </c>
      <c r="AA24" s="48">
        <f>员工业绩!R81</f>
        <v>0</v>
      </c>
      <c r="AB24" s="48">
        <f>员工业绩!R82</f>
        <v>0</v>
      </c>
      <c r="AC24" s="48">
        <f>员工业绩!R83</f>
        <v>0</v>
      </c>
      <c r="AD24" s="65">
        <f t="shared" si="4"/>
        <v>5</v>
      </c>
      <c r="AE24" s="61">
        <f>员工业绩!R84</f>
        <v>5</v>
      </c>
      <c r="AF24" s="65">
        <f t="shared" si="5"/>
        <v>5</v>
      </c>
      <c r="AG24" s="61">
        <f t="shared" si="6"/>
        <v>105.9717222818952</v>
      </c>
      <c r="AH24" s="70">
        <v>27000</v>
      </c>
      <c r="AI24" s="71">
        <f t="shared" si="7"/>
        <v>28612.365016111704</v>
      </c>
    </row>
    <row r="25" spans="1:35" ht="18" customHeight="1" x14ac:dyDescent="0.2">
      <c r="A25" s="47" t="s">
        <v>285</v>
      </c>
      <c r="B25" s="47" t="s">
        <v>236</v>
      </c>
      <c r="C25" s="48">
        <f>员工业绩!S61</f>
        <v>7.6999999999999993</v>
      </c>
      <c r="D25" s="48">
        <f>员工业绩!S62</f>
        <v>24.64</v>
      </c>
      <c r="E25" s="48">
        <f>员工业绩!S63</f>
        <v>10.888888888888888</v>
      </c>
      <c r="F25" s="48">
        <f>员工业绩!S64</f>
        <v>7.6222222222222218</v>
      </c>
      <c r="G25" s="48">
        <f>员工业绩!S65</f>
        <v>3.5</v>
      </c>
      <c r="H25" s="48">
        <f>员工业绩!S66</f>
        <v>4.4000000000000012</v>
      </c>
      <c r="I25" s="48">
        <f>员工业绩!S67</f>
        <v>2.7439999999999998</v>
      </c>
      <c r="J25" s="48">
        <f>员工业绩!S68</f>
        <v>0.39789473684210525</v>
      </c>
      <c r="K25" s="48">
        <f>员工业绩!S69</f>
        <v>2.0533333333333328</v>
      </c>
      <c r="L25" s="69">
        <f t="shared" si="0"/>
        <v>63.946339181286547</v>
      </c>
      <c r="M25" s="61">
        <f>员工业绩!S70</f>
        <v>4</v>
      </c>
      <c r="N25" s="48">
        <f>员工业绩!S71</f>
        <v>4</v>
      </c>
      <c r="O25" s="48">
        <f>员工业绩!S72</f>
        <v>3.591836734693878</v>
      </c>
      <c r="P25" s="48">
        <f>员工业绩!S73</f>
        <v>3.6734693877551026</v>
      </c>
      <c r="Q25" s="48">
        <f>员工业绩!S74</f>
        <v>4</v>
      </c>
      <c r="R25" s="65">
        <f t="shared" si="1"/>
        <v>19.26530612244898</v>
      </c>
      <c r="S25" s="61">
        <f>员工业绩!S75</f>
        <v>4.7777777777777777</v>
      </c>
      <c r="T25" s="48">
        <f>员工业绩!S76</f>
        <v>5.4444444444444446</v>
      </c>
      <c r="U25" s="65">
        <f t="shared" si="2"/>
        <v>10.222222222222221</v>
      </c>
      <c r="V25" s="62">
        <f t="shared" si="3"/>
        <v>93.433867525957737</v>
      </c>
      <c r="W25" s="61">
        <f>员工业绩!S77</f>
        <v>0</v>
      </c>
      <c r="X25" s="48">
        <f>员工业绩!S78</f>
        <v>0</v>
      </c>
      <c r="Y25" s="48">
        <f>员工业绩!S79</f>
        <v>0</v>
      </c>
      <c r="Z25" s="48">
        <f>员工业绩!S80</f>
        <v>0</v>
      </c>
      <c r="AA25" s="48">
        <f>员工业绩!S81</f>
        <v>0</v>
      </c>
      <c r="AB25" s="48">
        <f>员工业绩!S82</f>
        <v>0</v>
      </c>
      <c r="AC25" s="48">
        <f>员工业绩!S83</f>
        <v>0</v>
      </c>
      <c r="AD25" s="65">
        <f t="shared" si="4"/>
        <v>0</v>
      </c>
      <c r="AE25" s="61">
        <f>员工业绩!S84</f>
        <v>9.9</v>
      </c>
      <c r="AF25" s="65">
        <f t="shared" si="5"/>
        <v>9.9</v>
      </c>
      <c r="AG25" s="61">
        <f t="shared" si="6"/>
        <v>103.33386752595774</v>
      </c>
      <c r="AH25" s="70">
        <v>27000</v>
      </c>
      <c r="AI25" s="71">
        <f t="shared" si="7"/>
        <v>27900.144232008592</v>
      </c>
    </row>
    <row r="26" spans="1:35" ht="18" customHeight="1" x14ac:dyDescent="0.2">
      <c r="A26" s="47" t="s">
        <v>285</v>
      </c>
      <c r="B26" s="47" t="s">
        <v>237</v>
      </c>
      <c r="C26" s="48">
        <f>员工业绩!T61</f>
        <v>7.5250000000000004</v>
      </c>
      <c r="D26" s="48">
        <f>员工业绩!T62</f>
        <v>24.08</v>
      </c>
      <c r="E26" s="48">
        <f>员工业绩!T63</f>
        <v>12.6</v>
      </c>
      <c r="F26" s="48">
        <f>员工业绩!T64</f>
        <v>7.7777777777777777</v>
      </c>
      <c r="G26" s="48">
        <f>员工业绩!T65</f>
        <v>4.05</v>
      </c>
      <c r="H26" s="48">
        <f>员工业绩!T66</f>
        <v>4.3</v>
      </c>
      <c r="I26" s="48">
        <f>员工业绩!T67</f>
        <v>2.8000000000000003</v>
      </c>
      <c r="J26" s="48">
        <f>员工业绩!T68</f>
        <v>0.26526315789473681</v>
      </c>
      <c r="K26" s="48">
        <f>员工业绩!T69</f>
        <v>2.0066666666666659</v>
      </c>
      <c r="L26" s="69">
        <f t="shared" si="0"/>
        <v>65.404707602339172</v>
      </c>
      <c r="M26" s="61">
        <f>员工业绩!T70</f>
        <v>4</v>
      </c>
      <c r="N26" s="48">
        <f>员工业绩!T71</f>
        <v>4</v>
      </c>
      <c r="O26" s="48">
        <f>员工业绩!T72</f>
        <v>3.6734693877551026</v>
      </c>
      <c r="P26" s="48">
        <f>员工业绩!T73</f>
        <v>3.3061224489795928</v>
      </c>
      <c r="Q26" s="48">
        <f>员工业绩!T74</f>
        <v>4.0816326530612255</v>
      </c>
      <c r="R26" s="65">
        <f t="shared" si="1"/>
        <v>19.061224489795919</v>
      </c>
      <c r="S26" s="61">
        <f>员工业绩!T75</f>
        <v>5.3333333333333339</v>
      </c>
      <c r="T26" s="48">
        <f>员工业绩!T76</f>
        <v>4.4444444444444455</v>
      </c>
      <c r="U26" s="65">
        <f t="shared" si="2"/>
        <v>9.7777777777777786</v>
      </c>
      <c r="V26" s="62">
        <f t="shared" si="3"/>
        <v>94.243709869912863</v>
      </c>
      <c r="W26" s="61">
        <f>员工业绩!T77</f>
        <v>0</v>
      </c>
      <c r="X26" s="48">
        <f>员工业绩!T78</f>
        <v>0</v>
      </c>
      <c r="Y26" s="48">
        <f>员工业绩!T79</f>
        <v>0</v>
      </c>
      <c r="Z26" s="48">
        <f>员工业绩!T80</f>
        <v>0</v>
      </c>
      <c r="AA26" s="48">
        <f>员工业绩!T81</f>
        <v>0</v>
      </c>
      <c r="AB26" s="48">
        <f>员工业绩!T82</f>
        <v>0</v>
      </c>
      <c r="AC26" s="48">
        <f>员工业绩!T83</f>
        <v>-2</v>
      </c>
      <c r="AD26" s="65">
        <f t="shared" si="4"/>
        <v>-2</v>
      </c>
      <c r="AE26" s="61">
        <f>员工业绩!T84</f>
        <v>8.1000000000000014</v>
      </c>
      <c r="AF26" s="65">
        <f t="shared" si="5"/>
        <v>8.1000000000000014</v>
      </c>
      <c r="AG26" s="61">
        <f t="shared" si="6"/>
        <v>100.34370986991286</v>
      </c>
      <c r="AH26" s="70">
        <v>27000</v>
      </c>
      <c r="AI26" s="71">
        <f t="shared" si="7"/>
        <v>27092.801664876471</v>
      </c>
    </row>
    <row r="27" spans="1:35" ht="18" customHeight="1" x14ac:dyDescent="0.2">
      <c r="A27" s="47" t="s">
        <v>285</v>
      </c>
      <c r="B27" s="47" t="s">
        <v>238</v>
      </c>
      <c r="C27" s="48">
        <f>员工业绩!U61</f>
        <v>8.5749999999999993</v>
      </c>
      <c r="D27" s="48">
        <f>员工业绩!U62</f>
        <v>27.439999999999998</v>
      </c>
      <c r="E27" s="48">
        <f>员工业绩!U63</f>
        <v>10.266666666666667</v>
      </c>
      <c r="F27" s="48">
        <f>员工业绩!U64</f>
        <v>5.4444444444444438</v>
      </c>
      <c r="G27" s="48">
        <f>员工业绩!U65</f>
        <v>3.3000000000000003</v>
      </c>
      <c r="H27" s="48">
        <f>员工业绩!U66</f>
        <v>4.9000000000000004</v>
      </c>
      <c r="I27" s="48">
        <f>员工业绩!U67</f>
        <v>2.464</v>
      </c>
      <c r="J27" s="48">
        <f>员工业绩!U68</f>
        <v>0.19894736842105262</v>
      </c>
      <c r="K27" s="48">
        <f>员工业绩!U69</f>
        <v>2.2866666666666662</v>
      </c>
      <c r="L27" s="69">
        <f t="shared" si="0"/>
        <v>64.875725146198818</v>
      </c>
      <c r="M27" s="61">
        <f>员工业绩!U70</f>
        <v>4</v>
      </c>
      <c r="N27" s="48">
        <f>员工业绩!U71</f>
        <v>3.5</v>
      </c>
      <c r="O27" s="48">
        <f>员工业绩!U72</f>
        <v>3.591836734693878</v>
      </c>
      <c r="P27" s="48">
        <f>员工业绩!U73</f>
        <v>2.6938775510204085</v>
      </c>
      <c r="Q27" s="48">
        <f>员工业绩!U74</f>
        <v>2.8571428571428577</v>
      </c>
      <c r="R27" s="65">
        <f t="shared" si="1"/>
        <v>16.642857142857146</v>
      </c>
      <c r="S27" s="61">
        <f>员工业绩!U75</f>
        <v>5.5555555555555562</v>
      </c>
      <c r="T27" s="48">
        <f>员工业绩!U76</f>
        <v>3.8888888888888888</v>
      </c>
      <c r="U27" s="65">
        <f t="shared" si="2"/>
        <v>9.4444444444444446</v>
      </c>
      <c r="V27" s="62">
        <f t="shared" si="3"/>
        <v>90.963026733500399</v>
      </c>
      <c r="W27" s="61">
        <f>员工业绩!U77</f>
        <v>0</v>
      </c>
      <c r="X27" s="48">
        <f>员工业绩!U78</f>
        <v>0</v>
      </c>
      <c r="Y27" s="48">
        <f>员工业绩!U79</f>
        <v>0</v>
      </c>
      <c r="Z27" s="48">
        <f>员工业绩!U80</f>
        <v>0</v>
      </c>
      <c r="AA27" s="48">
        <f>员工业绩!U81</f>
        <v>0</v>
      </c>
      <c r="AB27" s="48">
        <f>员工业绩!U82</f>
        <v>0</v>
      </c>
      <c r="AC27" s="48">
        <f>员工业绩!U83</f>
        <v>0</v>
      </c>
      <c r="AD27" s="65">
        <f t="shared" si="4"/>
        <v>0</v>
      </c>
      <c r="AE27" s="61">
        <f>员工业绩!U84</f>
        <v>8.6</v>
      </c>
      <c r="AF27" s="65">
        <f t="shared" si="5"/>
        <v>8.6</v>
      </c>
      <c r="AG27" s="61">
        <f t="shared" si="6"/>
        <v>99.563026733500394</v>
      </c>
      <c r="AH27" s="70">
        <v>27000</v>
      </c>
      <c r="AI27" s="71">
        <f t="shared" si="7"/>
        <v>26882.017218045108</v>
      </c>
    </row>
    <row r="28" spans="1:35" ht="18" customHeight="1" x14ac:dyDescent="0.2">
      <c r="A28" s="47" t="s">
        <v>285</v>
      </c>
      <c r="B28" s="47" t="s">
        <v>239</v>
      </c>
      <c r="C28" s="48">
        <f>员工业绩!V61</f>
        <v>3.6749999999999994</v>
      </c>
      <c r="D28" s="48">
        <f>员工业绩!V62</f>
        <v>11.76</v>
      </c>
      <c r="E28" s="48">
        <f>员工业绩!V63</f>
        <v>8.0888888888888903</v>
      </c>
      <c r="F28" s="48">
        <f>员工业绩!V64</f>
        <v>6.2222222222222232</v>
      </c>
      <c r="G28" s="48">
        <f>员工业绩!V65</f>
        <v>2.6</v>
      </c>
      <c r="H28" s="48">
        <f>员工业绩!V66</f>
        <v>2.1</v>
      </c>
      <c r="I28" s="48">
        <f>员工业绩!V67</f>
        <v>2.7439999999999998</v>
      </c>
      <c r="J28" s="48">
        <f>员工业绩!V68</f>
        <v>0.37578947368421056</v>
      </c>
      <c r="K28" s="48">
        <f>员工业绩!V69</f>
        <v>0.97999999999999987</v>
      </c>
      <c r="L28" s="69">
        <f t="shared" si="0"/>
        <v>38.545900584795319</v>
      </c>
      <c r="M28" s="61">
        <f>员工业绩!V70</f>
        <v>4</v>
      </c>
      <c r="N28" s="48">
        <f>员工业绩!V71</f>
        <v>3</v>
      </c>
      <c r="O28" s="48">
        <f>员工业绩!V72</f>
        <v>4</v>
      </c>
      <c r="P28" s="48">
        <f>员工业绩!V73</f>
        <v>2.1224489795918369</v>
      </c>
      <c r="Q28" s="48">
        <f>员工业绩!V74</f>
        <v>3.2653061224489797</v>
      </c>
      <c r="R28" s="65">
        <f t="shared" si="1"/>
        <v>16.387755102040817</v>
      </c>
      <c r="S28" s="61">
        <f>员工业绩!V75</f>
        <v>5</v>
      </c>
      <c r="T28" s="48">
        <f>员工业绩!V76</f>
        <v>4.4444444444444455</v>
      </c>
      <c r="U28" s="65">
        <f t="shared" si="2"/>
        <v>9.4444444444444464</v>
      </c>
      <c r="V28" s="62">
        <f t="shared" si="3"/>
        <v>64.378100131280576</v>
      </c>
      <c r="W28" s="61">
        <f>员工业绩!V77</f>
        <v>0</v>
      </c>
      <c r="X28" s="48">
        <f>员工业绩!V78</f>
        <v>0</v>
      </c>
      <c r="Y28" s="48">
        <f>员工业绩!V79</f>
        <v>0</v>
      </c>
      <c r="Z28" s="48">
        <f>员工业绩!V80</f>
        <v>0</v>
      </c>
      <c r="AA28" s="48">
        <f>员工业绩!V81</f>
        <v>0</v>
      </c>
      <c r="AB28" s="48">
        <f>员工业绩!V82</f>
        <v>0</v>
      </c>
      <c r="AC28" s="48">
        <f>员工业绩!V83</f>
        <v>0</v>
      </c>
      <c r="AD28" s="65">
        <f t="shared" si="4"/>
        <v>0</v>
      </c>
      <c r="AE28" s="61">
        <f>员工业绩!V84</f>
        <v>8.6999999999999993</v>
      </c>
      <c r="AF28" s="65">
        <f t="shared" si="5"/>
        <v>8.6999999999999993</v>
      </c>
      <c r="AG28" s="61">
        <f t="shared" si="6"/>
        <v>73.078100131280578</v>
      </c>
      <c r="AH28" s="70">
        <v>27000</v>
      </c>
      <c r="AI28" s="71">
        <f t="shared" si="7"/>
        <v>19731.087035445758</v>
      </c>
    </row>
    <row r="29" spans="1:35" ht="18" customHeight="1" x14ac:dyDescent="0.2">
      <c r="A29" s="47" t="s">
        <v>285</v>
      </c>
      <c r="B29" s="47" t="s">
        <v>240</v>
      </c>
      <c r="C29" s="48">
        <f>员工业绩!W61</f>
        <v>8.5749999999999993</v>
      </c>
      <c r="D29" s="48">
        <f>员工业绩!W62</f>
        <v>27.439999999999998</v>
      </c>
      <c r="E29" s="48">
        <f>员工业绩!W63</f>
        <v>13.688888888888886</v>
      </c>
      <c r="F29" s="48">
        <f>员工业绩!W64</f>
        <v>7</v>
      </c>
      <c r="G29" s="48">
        <f>员工业绩!W65</f>
        <v>4.4000000000000012</v>
      </c>
      <c r="H29" s="48">
        <f>员工业绩!W66</f>
        <v>4.9000000000000004</v>
      </c>
      <c r="I29" s="48">
        <f>员工业绩!W67</f>
        <v>2.1279999999999997</v>
      </c>
      <c r="J29" s="48">
        <f>员工业绩!W68</f>
        <v>0.48631578947368415</v>
      </c>
      <c r="K29" s="48">
        <f>员工业绩!W69</f>
        <v>2.2866666666666662</v>
      </c>
      <c r="L29" s="69">
        <f t="shared" si="0"/>
        <v>70.904871345029221</v>
      </c>
      <c r="M29" s="61">
        <f>员工业绩!W70</f>
        <v>4</v>
      </c>
      <c r="N29" s="48">
        <f>员工业绩!W71</f>
        <v>4</v>
      </c>
      <c r="O29" s="48">
        <f>员工业绩!W72</f>
        <v>2.285714285714286</v>
      </c>
      <c r="P29" s="48">
        <f>员工业绩!W73</f>
        <v>3.6734693877551026</v>
      </c>
      <c r="Q29" s="48">
        <f>员工业绩!W74</f>
        <v>3.6734693877551026</v>
      </c>
      <c r="R29" s="65">
        <f t="shared" si="1"/>
        <v>17.632653061224492</v>
      </c>
      <c r="S29" s="61">
        <f>员工业绩!W75</f>
        <v>2.7777777777777781</v>
      </c>
      <c r="T29" s="48">
        <f>员工业绩!W76</f>
        <v>5</v>
      </c>
      <c r="U29" s="65">
        <f t="shared" si="2"/>
        <v>7.7777777777777786</v>
      </c>
      <c r="V29" s="62">
        <f t="shared" si="3"/>
        <v>96.315302184031481</v>
      </c>
      <c r="W29" s="61">
        <f>员工业绩!W77</f>
        <v>0</v>
      </c>
      <c r="X29" s="48">
        <f>员工业绩!W78</f>
        <v>0</v>
      </c>
      <c r="Y29" s="48">
        <f>员工业绩!W79</f>
        <v>0</v>
      </c>
      <c r="Z29" s="48">
        <f>员工业绩!W80</f>
        <v>0</v>
      </c>
      <c r="AA29" s="48">
        <f>员工业绩!W81</f>
        <v>0</v>
      </c>
      <c r="AB29" s="48">
        <f>员工业绩!W82</f>
        <v>0</v>
      </c>
      <c r="AC29" s="48">
        <f>员工业绩!W83</f>
        <v>0</v>
      </c>
      <c r="AD29" s="65">
        <f t="shared" si="4"/>
        <v>0</v>
      </c>
      <c r="AE29" s="61">
        <f>员工业绩!W84</f>
        <v>8</v>
      </c>
      <c r="AF29" s="65">
        <f t="shared" si="5"/>
        <v>8</v>
      </c>
      <c r="AG29" s="61">
        <f t="shared" si="6"/>
        <v>104.31530218403148</v>
      </c>
      <c r="AH29" s="70">
        <v>27000</v>
      </c>
      <c r="AI29" s="71">
        <f t="shared" si="7"/>
        <v>28165.131589688499</v>
      </c>
    </row>
    <row r="30" spans="1:35" ht="18" customHeight="1" x14ac:dyDescent="0.2">
      <c r="A30" s="47" t="s">
        <v>298</v>
      </c>
      <c r="B30" s="47" t="s">
        <v>298</v>
      </c>
      <c r="C30" s="48">
        <f>SUM(C22:C29)</f>
        <v>62.037499999999994</v>
      </c>
      <c r="D30" s="48">
        <f t="shared" ref="D30:AG30" si="21">SUM(D22:D29)</f>
        <v>198.51999999999998</v>
      </c>
      <c r="E30" s="48">
        <f t="shared" si="21"/>
        <v>90.222222222222214</v>
      </c>
      <c r="F30" s="48">
        <f t="shared" si="21"/>
        <v>52.888888888888886</v>
      </c>
      <c r="G30" s="48">
        <f t="shared" si="21"/>
        <v>29.000000000000007</v>
      </c>
      <c r="H30" s="48">
        <f t="shared" si="21"/>
        <v>35.450000000000003</v>
      </c>
      <c r="I30" s="48">
        <f t="shared" si="21"/>
        <v>21.224</v>
      </c>
      <c r="J30" s="48">
        <f t="shared" si="21"/>
        <v>2.2326315789473683</v>
      </c>
      <c r="K30" s="48">
        <f t="shared" si="21"/>
        <v>16.543333333333329</v>
      </c>
      <c r="L30" s="69">
        <f t="shared" si="21"/>
        <v>508.11857602339171</v>
      </c>
      <c r="M30" s="61">
        <f t="shared" si="21"/>
        <v>28</v>
      </c>
      <c r="N30" s="48">
        <f t="shared" si="21"/>
        <v>30.5</v>
      </c>
      <c r="O30" s="48">
        <f t="shared" si="21"/>
        <v>28.530612244897959</v>
      </c>
      <c r="P30" s="48">
        <f t="shared" si="21"/>
        <v>25.020408163265312</v>
      </c>
      <c r="Q30" s="48">
        <f t="shared" si="21"/>
        <v>28.816326530612248</v>
      </c>
      <c r="R30" s="65">
        <f t="shared" si="21"/>
        <v>140.86734693877551</v>
      </c>
      <c r="S30" s="61">
        <f t="shared" si="21"/>
        <v>38.44444444444445</v>
      </c>
      <c r="T30" s="48">
        <f t="shared" si="21"/>
        <v>36.3888888888889</v>
      </c>
      <c r="U30" s="65">
        <f t="shared" si="21"/>
        <v>74.833333333333343</v>
      </c>
      <c r="V30" s="62">
        <f t="shared" si="21"/>
        <v>723.81925629550062</v>
      </c>
      <c r="W30" s="61">
        <f t="shared" si="21"/>
        <v>0</v>
      </c>
      <c r="X30" s="48">
        <f t="shared" si="21"/>
        <v>5</v>
      </c>
      <c r="Y30" s="48">
        <f t="shared" si="21"/>
        <v>0</v>
      </c>
      <c r="Z30" s="48">
        <f t="shared" si="21"/>
        <v>0</v>
      </c>
      <c r="AA30" s="48">
        <f t="shared" si="21"/>
        <v>0</v>
      </c>
      <c r="AB30" s="48">
        <f t="shared" si="21"/>
        <v>0</v>
      </c>
      <c r="AC30" s="48">
        <f t="shared" si="21"/>
        <v>-2</v>
      </c>
      <c r="AD30" s="65">
        <f t="shared" si="21"/>
        <v>3</v>
      </c>
      <c r="AE30" s="61">
        <f t="shared" si="21"/>
        <v>64.600000000000009</v>
      </c>
      <c r="AF30" s="65">
        <f t="shared" si="21"/>
        <v>64.600000000000009</v>
      </c>
      <c r="AG30" s="61">
        <f t="shared" si="21"/>
        <v>791.41925629550065</v>
      </c>
      <c r="AH30" s="70">
        <v>27000</v>
      </c>
      <c r="AI30" s="71">
        <f>SUM(AI22:AI29)</f>
        <v>213683.19919978516</v>
      </c>
    </row>
    <row r="31" spans="1:35" ht="18" customHeight="1" x14ac:dyDescent="0.2">
      <c r="A31" s="47" t="s">
        <v>286</v>
      </c>
      <c r="B31" s="47" t="s">
        <v>241</v>
      </c>
      <c r="C31" s="48">
        <f>员工业绩!P89</f>
        <v>11.789473684210527</v>
      </c>
      <c r="D31" s="48">
        <f>员工业绩!P90</f>
        <v>9.5789473684210531</v>
      </c>
      <c r="E31" s="48">
        <f>员工业绩!P91</f>
        <v>3.5</v>
      </c>
      <c r="F31" s="48">
        <f>员工业绩!P92</f>
        <v>6.4285714285714297</v>
      </c>
      <c r="G31" s="48">
        <f>员工业绩!P93</f>
        <v>7.2210526315789467</v>
      </c>
      <c r="H31" s="48">
        <f>员工业绩!P94</f>
        <v>3.6473684210526316</v>
      </c>
      <c r="I31" s="48">
        <f>员工业绩!P95</f>
        <v>7</v>
      </c>
      <c r="J31" s="48">
        <f>员工业绩!P96</f>
        <v>7.2947368421052632</v>
      </c>
      <c r="K31" s="48">
        <f>员工业绩!P97</f>
        <v>3.6105263157894734</v>
      </c>
      <c r="L31" s="69">
        <f t="shared" si="0"/>
        <v>60.070676691729332</v>
      </c>
      <c r="M31" s="61">
        <f>员工业绩!P98</f>
        <v>4</v>
      </c>
      <c r="N31" s="48">
        <f>员工业绩!P99</f>
        <v>3.4285714285714288</v>
      </c>
      <c r="O31" s="48">
        <f>员工业绩!P100</f>
        <v>3.6326530612244903</v>
      </c>
      <c r="P31" s="48">
        <f>员工业绩!P101</f>
        <v>3.1020408163265309</v>
      </c>
      <c r="Q31" s="48">
        <f>员工业绩!P102</f>
        <v>4</v>
      </c>
      <c r="R31" s="65">
        <f t="shared" si="1"/>
        <v>18.163265306122447</v>
      </c>
      <c r="S31" s="61">
        <f>员工业绩!P103</f>
        <v>5</v>
      </c>
      <c r="T31" s="48">
        <f>员工业绩!P104</f>
        <v>4.166666666666667</v>
      </c>
      <c r="U31" s="65">
        <f t="shared" si="2"/>
        <v>9.1666666666666679</v>
      </c>
      <c r="V31" s="62">
        <f t="shared" si="3"/>
        <v>87.400608664518458</v>
      </c>
      <c r="W31" s="61">
        <f>员工业绩!P105</f>
        <v>0</v>
      </c>
      <c r="X31" s="48">
        <f>员工业绩!P106</f>
        <v>0</v>
      </c>
      <c r="Y31" s="48">
        <f>员工业绩!P107</f>
        <v>0</v>
      </c>
      <c r="Z31" s="48">
        <f>员工业绩!P108</f>
        <v>0</v>
      </c>
      <c r="AA31" s="48">
        <f>员工业绩!P109</f>
        <v>0</v>
      </c>
      <c r="AB31" s="48">
        <f>员工业绩!P110</f>
        <v>0</v>
      </c>
      <c r="AC31" s="48">
        <f>员工业绩!P111</f>
        <v>0</v>
      </c>
      <c r="AD31" s="65">
        <f t="shared" si="4"/>
        <v>0</v>
      </c>
      <c r="AE31" s="61">
        <f>员工业绩!P112</f>
        <v>10</v>
      </c>
      <c r="AF31" s="65">
        <f t="shared" si="5"/>
        <v>10</v>
      </c>
      <c r="AG31" s="61">
        <f t="shared" si="6"/>
        <v>97.400608664518458</v>
      </c>
      <c r="AH31" s="70">
        <v>35000</v>
      </c>
      <c r="AI31" s="71">
        <f t="shared" si="7"/>
        <v>34090.213032581465</v>
      </c>
    </row>
    <row r="32" spans="1:35" ht="18" customHeight="1" x14ac:dyDescent="0.2">
      <c r="A32" s="47" t="s">
        <v>286</v>
      </c>
      <c r="B32" s="47" t="s">
        <v>242</v>
      </c>
      <c r="C32" s="48">
        <f>员工业绩!Q89</f>
        <v>11.789473684210527</v>
      </c>
      <c r="D32" s="48">
        <f>员工业绩!Q90</f>
        <v>12.084210526315792</v>
      </c>
      <c r="E32" s="48">
        <f>员工业绩!Q91</f>
        <v>3.5</v>
      </c>
      <c r="F32" s="48">
        <f>员工业绩!Q92</f>
        <v>7.1428571428571432</v>
      </c>
      <c r="G32" s="48">
        <f>员工业绩!Q93</f>
        <v>6.4842105263157892</v>
      </c>
      <c r="H32" s="48">
        <f>员工业绩!Q94</f>
        <v>3.6842105263157894</v>
      </c>
      <c r="I32" s="48">
        <f>员工业绩!Q95</f>
        <v>7</v>
      </c>
      <c r="J32" s="48">
        <f>员工业绩!Q96</f>
        <v>7.3684210526315788</v>
      </c>
      <c r="K32" s="48">
        <f>员工业绩!Q97</f>
        <v>3.2421052631578946</v>
      </c>
      <c r="L32" s="69">
        <f t="shared" si="0"/>
        <v>62.295488721804517</v>
      </c>
      <c r="M32" s="61">
        <f>员工业绩!Q98</f>
        <v>0</v>
      </c>
      <c r="N32" s="48">
        <f>员工业绩!Q99</f>
        <v>4</v>
      </c>
      <c r="O32" s="48">
        <f>员工业绩!Q100</f>
        <v>3.7551020408163271</v>
      </c>
      <c r="P32" s="48">
        <f>员工业绩!Q101</f>
        <v>3.3469387755102042</v>
      </c>
      <c r="Q32" s="48">
        <f>员工业绩!Q102</f>
        <v>3.591836734693878</v>
      </c>
      <c r="R32" s="65">
        <f t="shared" si="1"/>
        <v>14.69387755102041</v>
      </c>
      <c r="S32" s="61">
        <f>员工业绩!Q103</f>
        <v>5.1111111111111107</v>
      </c>
      <c r="T32" s="48">
        <f>员工业绩!Q104</f>
        <v>4.4444444444444455</v>
      </c>
      <c r="U32" s="65">
        <f t="shared" si="2"/>
        <v>9.5555555555555571</v>
      </c>
      <c r="V32" s="62">
        <f t="shared" si="3"/>
        <v>86.544921828380481</v>
      </c>
      <c r="W32" s="61">
        <f>员工业绩!Q105</f>
        <v>0</v>
      </c>
      <c r="X32" s="48">
        <f>员工业绩!Q106</f>
        <v>0</v>
      </c>
      <c r="Y32" s="48">
        <f>员工业绩!Q107</f>
        <v>0</v>
      </c>
      <c r="Z32" s="48">
        <f>员工业绩!Q108</f>
        <v>0</v>
      </c>
      <c r="AA32" s="48">
        <f>员工业绩!Q109</f>
        <v>-2</v>
      </c>
      <c r="AB32" s="48">
        <f>员工业绩!Q110</f>
        <v>0</v>
      </c>
      <c r="AC32" s="48">
        <f>员工业绩!Q111</f>
        <v>0</v>
      </c>
      <c r="AD32" s="65">
        <f t="shared" si="4"/>
        <v>-2</v>
      </c>
      <c r="AE32" s="61">
        <f>员工业绩!Q112</f>
        <v>7.5</v>
      </c>
      <c r="AF32" s="65">
        <f t="shared" si="5"/>
        <v>7.5</v>
      </c>
      <c r="AG32" s="61">
        <f t="shared" si="6"/>
        <v>92.044921828380481</v>
      </c>
      <c r="AH32" s="70">
        <v>35000</v>
      </c>
      <c r="AI32" s="71">
        <f t="shared" si="7"/>
        <v>32215.722639933167</v>
      </c>
    </row>
    <row r="33" spans="1:35" ht="18" customHeight="1" x14ac:dyDescent="0.2">
      <c r="A33" s="47" t="s">
        <v>286</v>
      </c>
      <c r="B33" s="47" t="s">
        <v>243</v>
      </c>
      <c r="C33" s="48">
        <f>员工业绩!R89</f>
        <v>12.084210526315792</v>
      </c>
      <c r="D33" s="48">
        <f>员工业绩!R90</f>
        <v>11.200000000000001</v>
      </c>
      <c r="E33" s="48">
        <f>员工业绩!R91</f>
        <v>3.5</v>
      </c>
      <c r="F33" s="48">
        <f>员工业绩!R92</f>
        <v>7</v>
      </c>
      <c r="G33" s="48">
        <f>员工业绩!R93</f>
        <v>6.0421052631578958</v>
      </c>
      <c r="H33" s="48">
        <f>员工业绩!R94</f>
        <v>3.6105263157894734</v>
      </c>
      <c r="I33" s="48">
        <f>员工业绩!R95</f>
        <v>7</v>
      </c>
      <c r="J33" s="48">
        <f>员工业绩!R96</f>
        <v>7.2210526315789467</v>
      </c>
      <c r="K33" s="48">
        <f>员工业绩!R97</f>
        <v>3.0210526315789479</v>
      </c>
      <c r="L33" s="69">
        <f t="shared" si="0"/>
        <v>60.678947368421049</v>
      </c>
      <c r="M33" s="61">
        <f>员工业绩!R98</f>
        <v>4</v>
      </c>
      <c r="N33" s="48">
        <f>员工业绩!R99</f>
        <v>4</v>
      </c>
      <c r="O33" s="48">
        <f>员工业绩!R100</f>
        <v>4</v>
      </c>
      <c r="P33" s="48">
        <f>员工业绩!R101</f>
        <v>3.1020408163265309</v>
      </c>
      <c r="Q33" s="48">
        <f>员工业绩!R102</f>
        <v>3.3469387755102042</v>
      </c>
      <c r="R33" s="65">
        <f t="shared" si="1"/>
        <v>18.448979591836736</v>
      </c>
      <c r="S33" s="61">
        <f>员工业绩!R103</f>
        <v>4.8888888888888893</v>
      </c>
      <c r="T33" s="48">
        <f>员工业绩!R104</f>
        <v>4.5555555555555554</v>
      </c>
      <c r="U33" s="65">
        <f t="shared" si="2"/>
        <v>9.4444444444444446</v>
      </c>
      <c r="V33" s="62">
        <f t="shared" si="3"/>
        <v>88.572371404702224</v>
      </c>
      <c r="W33" s="61">
        <f>员工业绩!R105</f>
        <v>0</v>
      </c>
      <c r="X33" s="48">
        <f>员工业绩!R106</f>
        <v>0</v>
      </c>
      <c r="Y33" s="48">
        <f>员工业绩!R107</f>
        <v>0</v>
      </c>
      <c r="Z33" s="48">
        <f>员工业绩!R108</f>
        <v>0</v>
      </c>
      <c r="AA33" s="48">
        <f>员工业绩!R109</f>
        <v>0</v>
      </c>
      <c r="AB33" s="48">
        <f>员工业绩!R110</f>
        <v>0</v>
      </c>
      <c r="AC33" s="48">
        <f>员工业绩!R111</f>
        <v>0</v>
      </c>
      <c r="AD33" s="65">
        <f t="shared" si="4"/>
        <v>0</v>
      </c>
      <c r="AE33" s="61">
        <f>员工业绩!R112</f>
        <v>8.8000000000000007</v>
      </c>
      <c r="AF33" s="65">
        <f t="shared" si="5"/>
        <v>8.8000000000000007</v>
      </c>
      <c r="AG33" s="61">
        <f t="shared" si="6"/>
        <v>97.372371404702221</v>
      </c>
      <c r="AH33" s="70">
        <v>35000</v>
      </c>
      <c r="AI33" s="71">
        <f t="shared" si="7"/>
        <v>34080.329991645776</v>
      </c>
    </row>
    <row r="34" spans="1:35" ht="18" customHeight="1" x14ac:dyDescent="0.2">
      <c r="A34" s="47" t="s">
        <v>286</v>
      </c>
      <c r="B34" s="47" t="s">
        <v>244</v>
      </c>
      <c r="C34" s="48">
        <f>员工业绩!S89</f>
        <v>14.442105263157893</v>
      </c>
      <c r="D34" s="48">
        <f>员工业绩!S90</f>
        <v>10.315789473684209</v>
      </c>
      <c r="E34" s="48">
        <f>员工业绩!S91</f>
        <v>0</v>
      </c>
      <c r="F34" s="48">
        <f>员工业绩!S92</f>
        <v>7</v>
      </c>
      <c r="G34" s="48">
        <f>员工业绩!S93</f>
        <v>7.2210526315789467</v>
      </c>
      <c r="H34" s="48">
        <f>员工业绩!S94</f>
        <v>3.2421052631578946</v>
      </c>
      <c r="I34" s="48">
        <f>员工业绩!S95</f>
        <v>7</v>
      </c>
      <c r="J34" s="48">
        <f>员工业绩!S96</f>
        <v>6.4842105263157892</v>
      </c>
      <c r="K34" s="48">
        <f>员工业绩!S97</f>
        <v>3.6105263157894734</v>
      </c>
      <c r="L34" s="69">
        <f t="shared" si="0"/>
        <v>59.315789473684212</v>
      </c>
      <c r="M34" s="61">
        <f>员工业绩!S98</f>
        <v>4</v>
      </c>
      <c r="N34" s="48">
        <f>员工业绩!S99</f>
        <v>4</v>
      </c>
      <c r="O34" s="48">
        <f>员工业绩!S100</f>
        <v>3.591836734693878</v>
      </c>
      <c r="P34" s="48">
        <f>员工业绩!S101</f>
        <v>3.6734693877551026</v>
      </c>
      <c r="Q34" s="48">
        <f>员工业绩!S102</f>
        <v>4</v>
      </c>
      <c r="R34" s="65">
        <f t="shared" si="1"/>
        <v>19.26530612244898</v>
      </c>
      <c r="S34" s="61">
        <f>员工业绩!S103</f>
        <v>4.7777777777777777</v>
      </c>
      <c r="T34" s="48">
        <f>员工业绩!S104</f>
        <v>5.4444444444444446</v>
      </c>
      <c r="U34" s="65">
        <f t="shared" si="2"/>
        <v>10.222222222222221</v>
      </c>
      <c r="V34" s="62">
        <f t="shared" si="3"/>
        <v>88.803317818355424</v>
      </c>
      <c r="W34" s="61">
        <f>员工业绩!S105</f>
        <v>0</v>
      </c>
      <c r="X34" s="48">
        <f>员工业绩!S106</f>
        <v>10</v>
      </c>
      <c r="Y34" s="48">
        <f>员工业绩!S107</f>
        <v>0</v>
      </c>
      <c r="Z34" s="48">
        <f>员工业绩!S108</f>
        <v>0</v>
      </c>
      <c r="AA34" s="48">
        <f>员工业绩!S109</f>
        <v>0</v>
      </c>
      <c r="AB34" s="48">
        <f>员工业绩!S110</f>
        <v>0</v>
      </c>
      <c r="AC34" s="48">
        <f>员工业绩!S111</f>
        <v>0</v>
      </c>
      <c r="AD34" s="65">
        <f t="shared" si="4"/>
        <v>10</v>
      </c>
      <c r="AE34" s="61">
        <f>员工业绩!S112</f>
        <v>3.8</v>
      </c>
      <c r="AF34" s="65">
        <f t="shared" si="5"/>
        <v>3.8</v>
      </c>
      <c r="AG34" s="61">
        <f t="shared" si="6"/>
        <v>102.60331781835542</v>
      </c>
      <c r="AH34" s="70">
        <v>35000</v>
      </c>
      <c r="AI34" s="71">
        <f t="shared" si="7"/>
        <v>35911.161236424399</v>
      </c>
    </row>
    <row r="35" spans="1:35" ht="18" customHeight="1" x14ac:dyDescent="0.2">
      <c r="A35" s="47" t="s">
        <v>286</v>
      </c>
      <c r="B35" s="47" t="s">
        <v>245</v>
      </c>
      <c r="C35" s="48">
        <f>员工业绩!T89</f>
        <v>14.736842105263158</v>
      </c>
      <c r="D35" s="48">
        <f>员工业绩!T90</f>
        <v>11.936842105263159</v>
      </c>
      <c r="E35" s="48">
        <f>员工业绩!T91</f>
        <v>3.5</v>
      </c>
      <c r="F35" s="48">
        <f>员工业绩!T92</f>
        <v>7.1428571428571432</v>
      </c>
      <c r="G35" s="48">
        <f>员工业绩!T93</f>
        <v>7.3684210526315788</v>
      </c>
      <c r="H35" s="48">
        <f>员工业绩!T94</f>
        <v>3.168421052631579</v>
      </c>
      <c r="I35" s="48">
        <f>员工业绩!T95</f>
        <v>7</v>
      </c>
      <c r="J35" s="48">
        <f>员工业绩!T96</f>
        <v>6.3368421052631581</v>
      </c>
      <c r="K35" s="48">
        <f>员工业绩!T97</f>
        <v>3.6842105263157894</v>
      </c>
      <c r="L35" s="69">
        <f t="shared" si="0"/>
        <v>64.874436090225572</v>
      </c>
      <c r="M35" s="61">
        <f>员工业绩!T98</f>
        <v>4</v>
      </c>
      <c r="N35" s="48">
        <f>员工业绩!T99</f>
        <v>4</v>
      </c>
      <c r="O35" s="48">
        <f>员工业绩!T100</f>
        <v>3.6734693877551026</v>
      </c>
      <c r="P35" s="48">
        <f>员工业绩!T101</f>
        <v>3.3061224489795928</v>
      </c>
      <c r="Q35" s="48">
        <f>员工业绩!T102</f>
        <v>4.0816326530612255</v>
      </c>
      <c r="R35" s="65">
        <f t="shared" si="1"/>
        <v>19.061224489795919</v>
      </c>
      <c r="S35" s="61">
        <f>员工业绩!T103</f>
        <v>5.3333333333333339</v>
      </c>
      <c r="T35" s="48">
        <f>员工业绩!T104</f>
        <v>4.4444444444444455</v>
      </c>
      <c r="U35" s="65">
        <f t="shared" si="2"/>
        <v>9.7777777777777786</v>
      </c>
      <c r="V35" s="62">
        <f t="shared" si="3"/>
        <v>93.713438357799276</v>
      </c>
      <c r="W35" s="61">
        <f>员工业绩!T105</f>
        <v>0</v>
      </c>
      <c r="X35" s="48">
        <f>员工业绩!T106</f>
        <v>0</v>
      </c>
      <c r="Y35" s="48">
        <f>员工业绩!T107</f>
        <v>0</v>
      </c>
      <c r="Z35" s="48">
        <f>员工业绩!T108</f>
        <v>0</v>
      </c>
      <c r="AA35" s="48">
        <f>员工业绩!T109</f>
        <v>0</v>
      </c>
      <c r="AB35" s="48">
        <f>员工业绩!T110</f>
        <v>0</v>
      </c>
      <c r="AC35" s="48">
        <f>员工业绩!T111</f>
        <v>-2</v>
      </c>
      <c r="AD35" s="65">
        <f t="shared" si="4"/>
        <v>-2</v>
      </c>
      <c r="AE35" s="61">
        <f>员工业绩!T112</f>
        <v>9.9</v>
      </c>
      <c r="AF35" s="65">
        <f t="shared" si="5"/>
        <v>9.9</v>
      </c>
      <c r="AG35" s="61">
        <f t="shared" si="6"/>
        <v>101.61343835779928</v>
      </c>
      <c r="AH35" s="70">
        <v>35000</v>
      </c>
      <c r="AI35" s="71">
        <f t="shared" si="7"/>
        <v>35564.703425229753</v>
      </c>
    </row>
    <row r="36" spans="1:35" ht="18" customHeight="1" x14ac:dyDescent="0.2">
      <c r="A36" s="47" t="s">
        <v>286</v>
      </c>
      <c r="B36" s="47" t="s">
        <v>246</v>
      </c>
      <c r="C36" s="48">
        <f>员工业绩!U89</f>
        <v>10.315789473684209</v>
      </c>
      <c r="D36" s="48">
        <f>员工业绩!U90</f>
        <v>9.7263157894736842</v>
      </c>
      <c r="E36" s="48">
        <f>员工业绩!U91</f>
        <v>0</v>
      </c>
      <c r="F36" s="48">
        <f>员工业绩!U92</f>
        <v>6.2857142857142856</v>
      </c>
      <c r="G36" s="48">
        <f>员工业绩!U93</f>
        <v>5.1578947368421044</v>
      </c>
      <c r="H36" s="48">
        <f>员工业绩!U94</f>
        <v>3.6105263157894734</v>
      </c>
      <c r="I36" s="48">
        <f>员工业绩!U95</f>
        <v>7</v>
      </c>
      <c r="J36" s="48">
        <f>员工业绩!U96</f>
        <v>7.2210526315789467</v>
      </c>
      <c r="K36" s="48">
        <f>员工业绩!U97</f>
        <v>2.5789473684210522</v>
      </c>
      <c r="L36" s="69">
        <f t="shared" si="0"/>
        <v>51.896240601503756</v>
      </c>
      <c r="M36" s="61">
        <f>员工业绩!U98</f>
        <v>0</v>
      </c>
      <c r="N36" s="48">
        <f>员工业绩!U99</f>
        <v>2.8571428571428572</v>
      </c>
      <c r="O36" s="48">
        <f>员工业绩!U100</f>
        <v>3.591836734693878</v>
      </c>
      <c r="P36" s="48">
        <f>员工业绩!U101</f>
        <v>2.6938775510204085</v>
      </c>
      <c r="Q36" s="48">
        <f>员工业绩!U102</f>
        <v>2.8571428571428577</v>
      </c>
      <c r="R36" s="65">
        <f t="shared" si="1"/>
        <v>12.000000000000002</v>
      </c>
      <c r="S36" s="61">
        <f>员工业绩!U103</f>
        <v>5.5555555555555562</v>
      </c>
      <c r="T36" s="48">
        <f>员工业绩!U104</f>
        <v>3.8888888888888888</v>
      </c>
      <c r="U36" s="65">
        <f t="shared" si="2"/>
        <v>9.4444444444444446</v>
      </c>
      <c r="V36" s="62">
        <f t="shared" si="3"/>
        <v>73.340685045948206</v>
      </c>
      <c r="W36" s="61">
        <f>员工业绩!U105</f>
        <v>0</v>
      </c>
      <c r="X36" s="48">
        <f>员工业绩!U106</f>
        <v>0</v>
      </c>
      <c r="Y36" s="48">
        <f>员工业绩!U107</f>
        <v>0</v>
      </c>
      <c r="Z36" s="48">
        <f>员工业绩!U108</f>
        <v>0</v>
      </c>
      <c r="AA36" s="48">
        <f>员工业绩!U109</f>
        <v>0</v>
      </c>
      <c r="AB36" s="48">
        <f>员工业绩!U110</f>
        <v>0</v>
      </c>
      <c r="AC36" s="48">
        <f>员工业绩!U111</f>
        <v>0</v>
      </c>
      <c r="AD36" s="65">
        <f t="shared" si="4"/>
        <v>0</v>
      </c>
      <c r="AE36" s="61">
        <f>员工业绩!U112</f>
        <v>8.1000000000000014</v>
      </c>
      <c r="AF36" s="65">
        <f t="shared" si="5"/>
        <v>8.1000000000000014</v>
      </c>
      <c r="AG36" s="61">
        <f t="shared" si="6"/>
        <v>81.440685045948214</v>
      </c>
      <c r="AH36" s="70">
        <v>35000</v>
      </c>
      <c r="AI36" s="71">
        <f t="shared" si="7"/>
        <v>28504.239766081875</v>
      </c>
    </row>
    <row r="37" spans="1:35" ht="18" customHeight="1" x14ac:dyDescent="0.2">
      <c r="A37" s="47" t="s">
        <v>286</v>
      </c>
      <c r="B37" s="47" t="s">
        <v>262</v>
      </c>
      <c r="C37" s="48">
        <f>员工业绩!V89</f>
        <v>11.789473684210527</v>
      </c>
      <c r="D37" s="48">
        <f>员工业绩!V90</f>
        <v>7.6631578947368428</v>
      </c>
      <c r="E37" s="48">
        <f>员工业绩!V91</f>
        <v>0</v>
      </c>
      <c r="F37" s="48">
        <f>员工业绩!V92</f>
        <v>7</v>
      </c>
      <c r="G37" s="48">
        <f>员工业绩!V93</f>
        <v>5.8947368421052637</v>
      </c>
      <c r="H37" s="48">
        <f>员工业绩!V94</f>
        <v>1.5473684210526315</v>
      </c>
      <c r="I37" s="48">
        <f>员工业绩!V95</f>
        <v>7</v>
      </c>
      <c r="J37" s="48">
        <f>员工业绩!V96</f>
        <v>3.094736842105263</v>
      </c>
      <c r="K37" s="48">
        <f>员工业绩!V97</f>
        <v>2.9473684210526319</v>
      </c>
      <c r="L37" s="69">
        <f t="shared" si="0"/>
        <v>46.93684210526316</v>
      </c>
      <c r="M37" s="61">
        <f>员工业绩!V98</f>
        <v>0</v>
      </c>
      <c r="N37" s="48">
        <f>员工业绩!V99</f>
        <v>2.2857142857142856</v>
      </c>
      <c r="O37" s="48">
        <f>员工业绩!V100</f>
        <v>4</v>
      </c>
      <c r="P37" s="48">
        <f>员工业绩!V101</f>
        <v>2.1224489795918369</v>
      </c>
      <c r="Q37" s="48">
        <f>员工业绩!V102</f>
        <v>3.2653061224489797</v>
      </c>
      <c r="R37" s="65">
        <f t="shared" si="1"/>
        <v>11.673469387755102</v>
      </c>
      <c r="S37" s="61">
        <f>员工业绩!V103</f>
        <v>5</v>
      </c>
      <c r="T37" s="48">
        <f>员工业绩!V104</f>
        <v>4.4444444444444455</v>
      </c>
      <c r="U37" s="65">
        <f t="shared" si="2"/>
        <v>9.4444444444444464</v>
      </c>
      <c r="V37" s="62">
        <f t="shared" si="3"/>
        <v>68.054755937462701</v>
      </c>
      <c r="W37" s="61">
        <f>员工业绩!V105</f>
        <v>2</v>
      </c>
      <c r="X37" s="48">
        <f>员工业绩!V106</f>
        <v>0</v>
      </c>
      <c r="Y37" s="48">
        <f>员工业绩!V107</f>
        <v>0</v>
      </c>
      <c r="Z37" s="48">
        <f>员工业绩!V108</f>
        <v>0</v>
      </c>
      <c r="AA37" s="48">
        <f>员工业绩!V109</f>
        <v>0</v>
      </c>
      <c r="AB37" s="48">
        <f>员工业绩!V110</f>
        <v>0</v>
      </c>
      <c r="AC37" s="48">
        <f>员工业绩!V111</f>
        <v>0</v>
      </c>
      <c r="AD37" s="65">
        <f t="shared" si="4"/>
        <v>2</v>
      </c>
      <c r="AE37" s="61">
        <f>员工业绩!V112</f>
        <v>8.6</v>
      </c>
      <c r="AF37" s="65">
        <f t="shared" si="5"/>
        <v>8.6</v>
      </c>
      <c r="AG37" s="61">
        <f t="shared" si="6"/>
        <v>78.654755937462696</v>
      </c>
      <c r="AH37" s="70">
        <v>35000</v>
      </c>
      <c r="AI37" s="71">
        <f t="shared" si="7"/>
        <v>27529.164578111944</v>
      </c>
    </row>
    <row r="38" spans="1:35" ht="18" customHeight="1" x14ac:dyDescent="0.2">
      <c r="A38" s="47" t="s">
        <v>286</v>
      </c>
      <c r="B38" s="47" t="s">
        <v>263</v>
      </c>
      <c r="C38" s="48">
        <f>员工业绩!W89</f>
        <v>13.263157894736842</v>
      </c>
      <c r="D38" s="48">
        <f>员工业绩!W90</f>
        <v>12.968421052631578</v>
      </c>
      <c r="E38" s="48">
        <f>员工业绩!W91</f>
        <v>3.5</v>
      </c>
      <c r="F38" s="48">
        <f>员工业绩!W92</f>
        <v>5.4285714285714288</v>
      </c>
      <c r="G38" s="48">
        <f>员工业绩!W93</f>
        <v>6.6315789473684212</v>
      </c>
      <c r="H38" s="48">
        <f>员工业绩!W94</f>
        <v>3.6105263157894734</v>
      </c>
      <c r="I38" s="48">
        <f>员工业绩!W95</f>
        <v>7</v>
      </c>
      <c r="J38" s="48">
        <f>员工业绩!W96</f>
        <v>7.2210526315789467</v>
      </c>
      <c r="K38" s="48">
        <f>员工业绩!W97</f>
        <v>3.3157894736842106</v>
      </c>
      <c r="L38" s="69">
        <f t="shared" si="0"/>
        <v>62.939097744360907</v>
      </c>
      <c r="M38" s="61">
        <f>员工业绩!W98</f>
        <v>4</v>
      </c>
      <c r="N38" s="48">
        <f>员工业绩!W99</f>
        <v>4</v>
      </c>
      <c r="O38" s="48">
        <f>员工业绩!W100</f>
        <v>2.285714285714286</v>
      </c>
      <c r="P38" s="48">
        <f>员工业绩!W101</f>
        <v>3.6734693877551026</v>
      </c>
      <c r="Q38" s="48">
        <f>员工业绩!W102</f>
        <v>3.6734693877551026</v>
      </c>
      <c r="R38" s="65">
        <f t="shared" si="1"/>
        <v>17.632653061224492</v>
      </c>
      <c r="S38" s="61">
        <f>员工业绩!W103</f>
        <v>2.7777777777777781</v>
      </c>
      <c r="T38" s="48">
        <f>员工业绩!W104</f>
        <v>5</v>
      </c>
      <c r="U38" s="65">
        <f t="shared" si="2"/>
        <v>7.7777777777777786</v>
      </c>
      <c r="V38" s="62">
        <f t="shared" si="3"/>
        <v>88.349528583363167</v>
      </c>
      <c r="W38" s="61">
        <f>员工业绩!W105</f>
        <v>0</v>
      </c>
      <c r="X38" s="48">
        <f>员工业绩!W106</f>
        <v>0</v>
      </c>
      <c r="Y38" s="48">
        <f>员工业绩!W107</f>
        <v>0</v>
      </c>
      <c r="Z38" s="48">
        <f>员工业绩!W108</f>
        <v>0</v>
      </c>
      <c r="AA38" s="48">
        <f>员工业绩!W109</f>
        <v>0</v>
      </c>
      <c r="AB38" s="48">
        <f>员工业绩!W110</f>
        <v>0</v>
      </c>
      <c r="AC38" s="48">
        <f>员工业绩!W111</f>
        <v>0</v>
      </c>
      <c r="AD38" s="65">
        <f t="shared" si="4"/>
        <v>0</v>
      </c>
      <c r="AE38" s="61">
        <f>员工业绩!W112</f>
        <v>9</v>
      </c>
      <c r="AF38" s="65">
        <f t="shared" si="5"/>
        <v>9</v>
      </c>
      <c r="AG38" s="61">
        <f t="shared" si="6"/>
        <v>97.349528583363167</v>
      </c>
      <c r="AH38" s="70">
        <v>35000</v>
      </c>
      <c r="AI38" s="71">
        <f t="shared" si="7"/>
        <v>34072.335004177105</v>
      </c>
    </row>
    <row r="39" spans="1:35" ht="18" customHeight="1" x14ac:dyDescent="0.2">
      <c r="A39" s="47" t="s">
        <v>299</v>
      </c>
      <c r="B39" s="47" t="s">
        <v>299</v>
      </c>
      <c r="C39" s="48">
        <f>SUM(C31:C38)</f>
        <v>100.21052631578948</v>
      </c>
      <c r="D39" s="48">
        <f t="shared" ref="D39:AG39" si="22">SUM(D31:D38)</f>
        <v>85.473684210526315</v>
      </c>
      <c r="E39" s="48">
        <f t="shared" si="22"/>
        <v>17.5</v>
      </c>
      <c r="F39" s="48">
        <f t="shared" si="22"/>
        <v>53.428571428571431</v>
      </c>
      <c r="G39" s="48">
        <f t="shared" si="22"/>
        <v>52.021052631578954</v>
      </c>
      <c r="H39" s="48">
        <f t="shared" si="22"/>
        <v>26.121052631578948</v>
      </c>
      <c r="I39" s="48">
        <f t="shared" si="22"/>
        <v>56</v>
      </c>
      <c r="J39" s="48">
        <f t="shared" si="22"/>
        <v>52.242105263157896</v>
      </c>
      <c r="K39" s="48">
        <f t="shared" si="22"/>
        <v>26.010526315789477</v>
      </c>
      <c r="L39" s="69">
        <f t="shared" si="22"/>
        <v>469.00751879699249</v>
      </c>
      <c r="M39" s="61">
        <f t="shared" si="22"/>
        <v>20</v>
      </c>
      <c r="N39" s="48">
        <f t="shared" si="22"/>
        <v>28.571428571428573</v>
      </c>
      <c r="O39" s="48">
        <f t="shared" si="22"/>
        <v>28.530612244897959</v>
      </c>
      <c r="P39" s="48">
        <f t="shared" si="22"/>
        <v>25.020408163265312</v>
      </c>
      <c r="Q39" s="48">
        <f t="shared" si="22"/>
        <v>28.816326530612248</v>
      </c>
      <c r="R39" s="65">
        <f t="shared" si="22"/>
        <v>130.9387755102041</v>
      </c>
      <c r="S39" s="61">
        <f t="shared" si="22"/>
        <v>38.44444444444445</v>
      </c>
      <c r="T39" s="48">
        <f t="shared" si="22"/>
        <v>36.3888888888889</v>
      </c>
      <c r="U39" s="65">
        <f t="shared" si="22"/>
        <v>74.833333333333343</v>
      </c>
      <c r="V39" s="62">
        <f t="shared" si="22"/>
        <v>674.77962764052995</v>
      </c>
      <c r="W39" s="61">
        <f t="shared" si="22"/>
        <v>2</v>
      </c>
      <c r="X39" s="48">
        <f t="shared" si="22"/>
        <v>10</v>
      </c>
      <c r="Y39" s="48">
        <f t="shared" si="22"/>
        <v>0</v>
      </c>
      <c r="Z39" s="48">
        <f t="shared" si="22"/>
        <v>0</v>
      </c>
      <c r="AA39" s="48">
        <f t="shared" si="22"/>
        <v>-2</v>
      </c>
      <c r="AB39" s="48">
        <f t="shared" si="22"/>
        <v>0</v>
      </c>
      <c r="AC39" s="48">
        <f t="shared" si="22"/>
        <v>-2</v>
      </c>
      <c r="AD39" s="65">
        <f t="shared" si="22"/>
        <v>8</v>
      </c>
      <c r="AE39" s="61">
        <f t="shared" si="22"/>
        <v>65.7</v>
      </c>
      <c r="AF39" s="65">
        <f t="shared" si="22"/>
        <v>65.7</v>
      </c>
      <c r="AG39" s="61">
        <f t="shared" si="22"/>
        <v>748.47962764053</v>
      </c>
      <c r="AH39" s="70">
        <v>35000</v>
      </c>
      <c r="AI39" s="71">
        <f>SUM(AI31:AI38)</f>
        <v>261967.86967418552</v>
      </c>
    </row>
    <row r="40" spans="1:35" ht="18" customHeight="1" x14ac:dyDescent="0.2">
      <c r="A40" s="47" t="s">
        <v>287</v>
      </c>
      <c r="B40" s="47" t="s">
        <v>264</v>
      </c>
      <c r="C40" s="48">
        <f>员工业绩!P117</f>
        <v>13.434343434343432</v>
      </c>
      <c r="D40" s="48">
        <f>员工业绩!P118</f>
        <v>4.6907216494845363</v>
      </c>
      <c r="E40" s="48">
        <f>员工业绩!P119</f>
        <v>7.1428571428571438E-2</v>
      </c>
      <c r="F40" s="48">
        <f>员工业绩!P120</f>
        <v>14</v>
      </c>
      <c r="G40" s="48">
        <f>员工业绩!P121</f>
        <v>7</v>
      </c>
      <c r="H40" s="48">
        <f>员工业绩!P122</f>
        <v>6.93</v>
      </c>
      <c r="I40" s="48">
        <f>员工业绩!P123</f>
        <v>7.2916666666666679</v>
      </c>
      <c r="J40" s="48">
        <f>员工业绩!P124</f>
        <v>7.0714285714285712</v>
      </c>
      <c r="K40" s="48">
        <f>员工业绩!P125</f>
        <v>6.9292929292929291</v>
      </c>
      <c r="L40" s="69">
        <f t="shared" si="0"/>
        <v>67.418881822644707</v>
      </c>
      <c r="M40" s="61">
        <f>员工业绩!P126</f>
        <v>4</v>
      </c>
      <c r="N40" s="48">
        <f>员工业绩!P127</f>
        <v>3.0769230769230766</v>
      </c>
      <c r="O40" s="48">
        <f>员工业绩!P128</f>
        <v>3.6326530612244903</v>
      </c>
      <c r="P40" s="48">
        <f>员工业绩!P129</f>
        <v>3.1020408163265309</v>
      </c>
      <c r="Q40" s="48">
        <f>员工业绩!P130</f>
        <v>4</v>
      </c>
      <c r="R40" s="65">
        <f t="shared" si="1"/>
        <v>17.811616954474097</v>
      </c>
      <c r="S40" s="61">
        <f>员工业绩!P131</f>
        <v>5</v>
      </c>
      <c r="T40" s="48">
        <f>员工业绩!P132</f>
        <v>4.166666666666667</v>
      </c>
      <c r="U40" s="65">
        <f t="shared" si="2"/>
        <v>9.1666666666666679</v>
      </c>
      <c r="V40" s="62">
        <f t="shared" si="3"/>
        <v>94.397165443785482</v>
      </c>
      <c r="W40" s="61">
        <f>员工业绩!P133</f>
        <v>0</v>
      </c>
      <c r="X40" s="48">
        <f>员工业绩!P134</f>
        <v>0</v>
      </c>
      <c r="Y40" s="48">
        <f>员工业绩!P135</f>
        <v>0</v>
      </c>
      <c r="Z40" s="48">
        <f>员工业绩!P136</f>
        <v>0</v>
      </c>
      <c r="AA40" s="48">
        <f>员工业绩!P137</f>
        <v>0</v>
      </c>
      <c r="AB40" s="48">
        <f>员工业绩!P138</f>
        <v>0</v>
      </c>
      <c r="AC40" s="48">
        <f>员工业绩!P139</f>
        <v>0</v>
      </c>
      <c r="AD40" s="65">
        <f t="shared" si="4"/>
        <v>0</v>
      </c>
      <c r="AE40" s="61">
        <f>员工业绩!P140</f>
        <v>10</v>
      </c>
      <c r="AF40" s="65">
        <f t="shared" si="5"/>
        <v>10</v>
      </c>
      <c r="AG40" s="61">
        <f t="shared" si="6"/>
        <v>104.39716544378548</v>
      </c>
      <c r="AH40" s="70">
        <v>30000</v>
      </c>
      <c r="AI40" s="71">
        <f t="shared" si="7"/>
        <v>31319.149633135647</v>
      </c>
    </row>
    <row r="41" spans="1:35" ht="18" customHeight="1" x14ac:dyDescent="0.2">
      <c r="A41" s="47" t="s">
        <v>287</v>
      </c>
      <c r="B41" s="47" t="s">
        <v>266</v>
      </c>
      <c r="C41" s="48">
        <f>员工业绩!Q117</f>
        <v>11.313131313131315</v>
      </c>
      <c r="D41" s="48">
        <f>员工业绩!Q118</f>
        <v>5.9175257731958766</v>
      </c>
      <c r="E41" s="48">
        <f>员工业绩!Q119</f>
        <v>7.1428571428571438E-2</v>
      </c>
      <c r="F41" s="48">
        <f>员工业绩!Q120</f>
        <v>0.99999999999999989</v>
      </c>
      <c r="G41" s="48">
        <f>员工业绩!Q121</f>
        <v>0.57142857142857151</v>
      </c>
      <c r="H41" s="48">
        <f>员工业绩!Q122</f>
        <v>3.6842105263157894</v>
      </c>
      <c r="I41" s="48">
        <f>员工业绩!Q123</f>
        <v>7.2916666666666679</v>
      </c>
      <c r="J41" s="48">
        <f>员工业绩!Q124</f>
        <v>7.1428571428571432</v>
      </c>
      <c r="K41" s="48">
        <f>员工业绩!Q125</f>
        <v>6.2222222222222232</v>
      </c>
      <c r="L41" s="69">
        <f t="shared" si="0"/>
        <v>43.214470787246157</v>
      </c>
      <c r="M41" s="61">
        <f>员工业绩!Q126</f>
        <v>0</v>
      </c>
      <c r="N41" s="48">
        <f>员工业绩!Q127</f>
        <v>4</v>
      </c>
      <c r="O41" s="48">
        <f>员工业绩!Q128</f>
        <v>3.7551020408163271</v>
      </c>
      <c r="P41" s="48">
        <f>员工业绩!Q129</f>
        <v>3.3469387755102042</v>
      </c>
      <c r="Q41" s="48">
        <f>员工业绩!Q130</f>
        <v>3.591836734693878</v>
      </c>
      <c r="R41" s="65">
        <f t="shared" si="1"/>
        <v>14.69387755102041</v>
      </c>
      <c r="S41" s="61">
        <f>员工业绩!Q131</f>
        <v>5.1111111111111107</v>
      </c>
      <c r="T41" s="48">
        <f>员工业绩!Q132</f>
        <v>4.4444444444444455</v>
      </c>
      <c r="U41" s="65">
        <f t="shared" si="2"/>
        <v>9.5555555555555571</v>
      </c>
      <c r="V41" s="62">
        <f t="shared" si="3"/>
        <v>67.46390389382212</v>
      </c>
      <c r="W41" s="61">
        <f>员工业绩!Q133</f>
        <v>0</v>
      </c>
      <c r="X41" s="48">
        <f>员工业绩!Q134</f>
        <v>0</v>
      </c>
      <c r="Y41" s="48">
        <f>员工业绩!Q135</f>
        <v>0</v>
      </c>
      <c r="Z41" s="48">
        <f>员工业绩!Q136</f>
        <v>0</v>
      </c>
      <c r="AA41" s="48">
        <f>员工业绩!Q137</f>
        <v>-2</v>
      </c>
      <c r="AB41" s="48">
        <f>员工业绩!Q138</f>
        <v>0</v>
      </c>
      <c r="AC41" s="48">
        <f>员工业绩!Q139</f>
        <v>0</v>
      </c>
      <c r="AD41" s="65">
        <f t="shared" si="4"/>
        <v>-2</v>
      </c>
      <c r="AE41" s="61">
        <f>员工业绩!Q140</f>
        <v>-2.5</v>
      </c>
      <c r="AF41" s="65">
        <f t="shared" si="5"/>
        <v>-2.5</v>
      </c>
      <c r="AG41" s="61">
        <f t="shared" si="6"/>
        <v>62.96390389382212</v>
      </c>
      <c r="AH41" s="70">
        <v>30000</v>
      </c>
      <c r="AI41" s="71">
        <f t="shared" si="7"/>
        <v>18889.171168146637</v>
      </c>
    </row>
    <row r="42" spans="1:35" ht="18" customHeight="1" x14ac:dyDescent="0.2">
      <c r="A42" s="47" t="s">
        <v>287</v>
      </c>
      <c r="B42" s="47" t="s">
        <v>267</v>
      </c>
      <c r="C42" s="48">
        <f>员工业绩!R117</f>
        <v>11.595959595959595</v>
      </c>
      <c r="D42" s="48">
        <f>员工业绩!R118</f>
        <v>5.4845360824742277</v>
      </c>
      <c r="E42" s="48">
        <f>员工业绩!R119</f>
        <v>7.1428571428571438E-2</v>
      </c>
      <c r="F42" s="48">
        <f>员工业绩!R120</f>
        <v>0</v>
      </c>
      <c r="G42" s="48">
        <f>员工业绩!R121</f>
        <v>5.8571428571428568</v>
      </c>
      <c r="H42" s="48">
        <f>员工业绩!R122</f>
        <v>3.6105263157894734</v>
      </c>
      <c r="I42" s="48">
        <f>员工业绩!R123</f>
        <v>7.2916666666666679</v>
      </c>
      <c r="J42" s="48">
        <f>员工业绩!R124</f>
        <v>7</v>
      </c>
      <c r="K42" s="48">
        <f>员工业绩!R125</f>
        <v>5.7979797979797976</v>
      </c>
      <c r="L42" s="69">
        <f t="shared" si="0"/>
        <v>46.709239887441193</v>
      </c>
      <c r="M42" s="61">
        <f>员工业绩!R126</f>
        <v>4</v>
      </c>
      <c r="N42" s="48">
        <f>员工业绩!R127</f>
        <v>4</v>
      </c>
      <c r="O42" s="48">
        <f>员工业绩!R128</f>
        <v>4</v>
      </c>
      <c r="P42" s="48">
        <f>员工业绩!R129</f>
        <v>3.1020408163265309</v>
      </c>
      <c r="Q42" s="48">
        <f>员工业绩!R130</f>
        <v>3.3469387755102042</v>
      </c>
      <c r="R42" s="65">
        <f t="shared" si="1"/>
        <v>18.448979591836736</v>
      </c>
      <c r="S42" s="61">
        <f>员工业绩!R131</f>
        <v>4.8888888888888893</v>
      </c>
      <c r="T42" s="48">
        <f>员工业绩!R132</f>
        <v>4.5555555555555554</v>
      </c>
      <c r="U42" s="65">
        <f t="shared" si="2"/>
        <v>9.4444444444444446</v>
      </c>
      <c r="V42" s="62">
        <f t="shared" si="3"/>
        <v>74.602663923722375</v>
      </c>
      <c r="W42" s="61">
        <f>员工业绩!R133</f>
        <v>0</v>
      </c>
      <c r="X42" s="48">
        <f>员工业绩!R134</f>
        <v>0</v>
      </c>
      <c r="Y42" s="48">
        <f>员工业绩!R135</f>
        <v>0</v>
      </c>
      <c r="Z42" s="48">
        <f>员工业绩!R136</f>
        <v>0</v>
      </c>
      <c r="AA42" s="48">
        <f>员工业绩!R137</f>
        <v>0</v>
      </c>
      <c r="AB42" s="48">
        <f>员工业绩!R138</f>
        <v>0</v>
      </c>
      <c r="AC42" s="48">
        <f>员工业绩!R139</f>
        <v>0</v>
      </c>
      <c r="AD42" s="65">
        <f t="shared" si="4"/>
        <v>0</v>
      </c>
      <c r="AE42" s="61">
        <f>员工业绩!R140</f>
        <v>4</v>
      </c>
      <c r="AF42" s="65">
        <f t="shared" si="5"/>
        <v>4</v>
      </c>
      <c r="AG42" s="61">
        <f t="shared" si="6"/>
        <v>78.602663923722375</v>
      </c>
      <c r="AH42" s="70">
        <v>30000</v>
      </c>
      <c r="AI42" s="71">
        <f t="shared" si="7"/>
        <v>23580.799177116714</v>
      </c>
    </row>
    <row r="43" spans="1:35" ht="18" customHeight="1" x14ac:dyDescent="0.2">
      <c r="A43" s="47" t="s">
        <v>287</v>
      </c>
      <c r="B43" s="47" t="s">
        <v>268</v>
      </c>
      <c r="C43" s="48">
        <f>员工业绩!S117</f>
        <v>13.858585858585858</v>
      </c>
      <c r="D43" s="48">
        <f>员工业绩!S118</f>
        <v>5.0515463917525771</v>
      </c>
      <c r="E43" s="48">
        <f>员工业绩!S119</f>
        <v>0</v>
      </c>
      <c r="F43" s="48">
        <f>员工业绩!S120</f>
        <v>0.99999999999999989</v>
      </c>
      <c r="G43" s="48">
        <f>员工业绩!S121</f>
        <v>7</v>
      </c>
      <c r="H43" s="48">
        <f>员工业绩!S122</f>
        <v>3.2421052631578946</v>
      </c>
      <c r="I43" s="48">
        <f>员工业绩!S123</f>
        <v>7.2916666666666679</v>
      </c>
      <c r="J43" s="48">
        <f>员工业绩!S124</f>
        <v>6.2857142857142856</v>
      </c>
      <c r="K43" s="48">
        <f>员工业绩!S125</f>
        <v>6.9292929292929291</v>
      </c>
      <c r="L43" s="69">
        <f t="shared" si="0"/>
        <v>50.658911395170215</v>
      </c>
      <c r="M43" s="61">
        <f>员工业绩!S126</f>
        <v>4</v>
      </c>
      <c r="N43" s="48">
        <f>员工业绩!S127</f>
        <v>4</v>
      </c>
      <c r="O43" s="48">
        <f>员工业绩!S128</f>
        <v>3.591836734693878</v>
      </c>
      <c r="P43" s="48">
        <f>员工业绩!S129</f>
        <v>3.6734693877551026</v>
      </c>
      <c r="Q43" s="48">
        <f>员工业绩!S130</f>
        <v>4</v>
      </c>
      <c r="R43" s="65">
        <f t="shared" si="1"/>
        <v>19.26530612244898</v>
      </c>
      <c r="S43" s="61">
        <f>员工业绩!S131</f>
        <v>4.7777777777777777</v>
      </c>
      <c r="T43" s="48">
        <f>员工业绩!S132</f>
        <v>5.4444444444444446</v>
      </c>
      <c r="U43" s="65">
        <f t="shared" si="2"/>
        <v>10.222222222222221</v>
      </c>
      <c r="V43" s="62">
        <f t="shared" si="3"/>
        <v>80.146439739841412</v>
      </c>
      <c r="W43" s="61">
        <f>员工业绩!S133</f>
        <v>0</v>
      </c>
      <c r="X43" s="48">
        <f>员工业绩!S134</f>
        <v>10</v>
      </c>
      <c r="Y43" s="48">
        <f>员工业绩!S135</f>
        <v>0</v>
      </c>
      <c r="Z43" s="48">
        <f>员工业绩!S136</f>
        <v>0</v>
      </c>
      <c r="AA43" s="48">
        <f>员工业绩!S137</f>
        <v>0</v>
      </c>
      <c r="AB43" s="48">
        <f>员工业绩!S138</f>
        <v>0</v>
      </c>
      <c r="AC43" s="48">
        <f>员工业绩!S139</f>
        <v>0</v>
      </c>
      <c r="AD43" s="65">
        <f t="shared" si="4"/>
        <v>10</v>
      </c>
      <c r="AE43" s="61">
        <f>员工业绩!S140</f>
        <v>-10</v>
      </c>
      <c r="AF43" s="65">
        <f t="shared" si="5"/>
        <v>-10</v>
      </c>
      <c r="AG43" s="61">
        <f t="shared" si="6"/>
        <v>80.146439739841412</v>
      </c>
      <c r="AH43" s="70">
        <v>30000</v>
      </c>
      <c r="AI43" s="71">
        <f t="shared" si="7"/>
        <v>24043.931921952422</v>
      </c>
    </row>
    <row r="44" spans="1:35" ht="18" customHeight="1" x14ac:dyDescent="0.2">
      <c r="A44" s="47" t="s">
        <v>287</v>
      </c>
      <c r="B44" s="47" t="s">
        <v>269</v>
      </c>
      <c r="C44" s="48">
        <f>员工业绩!T117</f>
        <v>11.313131313131315</v>
      </c>
      <c r="D44" s="48">
        <f>员工业绩!T118</f>
        <v>5.8453608247422686</v>
      </c>
      <c r="E44" s="48">
        <f>员工业绩!T119</f>
        <v>7.1428571428571438E-2</v>
      </c>
      <c r="F44" s="48">
        <f>员工业绩!T120</f>
        <v>1.9999999999999998</v>
      </c>
      <c r="G44" s="48">
        <f>员工业绩!T121</f>
        <v>7.1428571428571432</v>
      </c>
      <c r="H44" s="48">
        <f>员工业绩!T122</f>
        <v>3.168421052631579</v>
      </c>
      <c r="I44" s="48">
        <f>员工业绩!T123</f>
        <v>7.2916666666666679</v>
      </c>
      <c r="J44" s="48">
        <f>员工业绩!T124</f>
        <v>6.1428571428571423</v>
      </c>
      <c r="K44" s="48">
        <f>员工业绩!T125</f>
        <v>7.0707070707070701</v>
      </c>
      <c r="L44" s="69">
        <f t="shared" si="0"/>
        <v>50.046429785021758</v>
      </c>
      <c r="M44" s="61">
        <f>员工业绩!T126</f>
        <v>4</v>
      </c>
      <c r="N44" s="48">
        <f>员工业绩!T127</f>
        <v>4</v>
      </c>
      <c r="O44" s="48">
        <f>员工业绩!T128</f>
        <v>3.6734693877551026</v>
      </c>
      <c r="P44" s="48">
        <f>员工业绩!T129</f>
        <v>3.3061224489795928</v>
      </c>
      <c r="Q44" s="48">
        <f>员工业绩!T130</f>
        <v>4.0816326530612255</v>
      </c>
      <c r="R44" s="65">
        <f t="shared" si="1"/>
        <v>19.061224489795919</v>
      </c>
      <c r="S44" s="61">
        <f>员工业绩!T131</f>
        <v>5.3333333333333339</v>
      </c>
      <c r="T44" s="48">
        <f>员工业绩!T132</f>
        <v>4.4444444444444455</v>
      </c>
      <c r="U44" s="65">
        <f t="shared" si="2"/>
        <v>9.7777777777777786</v>
      </c>
      <c r="V44" s="62">
        <f t="shared" si="3"/>
        <v>78.885432052595462</v>
      </c>
      <c r="W44" s="61">
        <f>员工业绩!T133</f>
        <v>0</v>
      </c>
      <c r="X44" s="48">
        <f>员工业绩!T134</f>
        <v>0</v>
      </c>
      <c r="Y44" s="48">
        <f>员工业绩!T135</f>
        <v>0</v>
      </c>
      <c r="Z44" s="48">
        <f>员工业绩!T136</f>
        <v>0</v>
      </c>
      <c r="AA44" s="48">
        <f>员工业绩!T137</f>
        <v>0</v>
      </c>
      <c r="AB44" s="48">
        <f>员工业绩!T138</f>
        <v>0</v>
      </c>
      <c r="AC44" s="48">
        <f>员工业绩!T139</f>
        <v>-2</v>
      </c>
      <c r="AD44" s="65">
        <f t="shared" si="4"/>
        <v>-2</v>
      </c>
      <c r="AE44" s="61">
        <f>员工业绩!T140</f>
        <v>9.5</v>
      </c>
      <c r="AF44" s="65">
        <f t="shared" si="5"/>
        <v>9.5</v>
      </c>
      <c r="AG44" s="61">
        <f t="shared" si="6"/>
        <v>86.385432052595462</v>
      </c>
      <c r="AH44" s="70">
        <v>30000</v>
      </c>
      <c r="AI44" s="71">
        <f t="shared" si="7"/>
        <v>25915.629615778638</v>
      </c>
    </row>
    <row r="45" spans="1:35" ht="18" customHeight="1" x14ac:dyDescent="0.2">
      <c r="A45" s="47" t="s">
        <v>287</v>
      </c>
      <c r="B45" s="47" t="s">
        <v>270</v>
      </c>
      <c r="C45" s="48">
        <f>员工业绩!U117</f>
        <v>9.8989898989898997</v>
      </c>
      <c r="D45" s="48">
        <f>员工业绩!U118</f>
        <v>4.7628865979381443</v>
      </c>
      <c r="E45" s="48">
        <f>员工业绩!U119</f>
        <v>0</v>
      </c>
      <c r="F45" s="48">
        <f>员工业绩!U120</f>
        <v>7</v>
      </c>
      <c r="G45" s="48">
        <f>员工业绩!U121</f>
        <v>5</v>
      </c>
      <c r="H45" s="48">
        <f>员工业绩!U122</f>
        <v>3.6105263157894734</v>
      </c>
      <c r="I45" s="48">
        <f>员工业绩!U123</f>
        <v>7.2916666666666679</v>
      </c>
      <c r="J45" s="48">
        <f>员工业绩!U124</f>
        <v>7</v>
      </c>
      <c r="K45" s="48">
        <f>员工业绩!U125</f>
        <v>4.9494949494949498</v>
      </c>
      <c r="L45" s="69">
        <f t="shared" si="0"/>
        <v>49.513564428879135</v>
      </c>
      <c r="M45" s="61">
        <f>员工业绩!U126</f>
        <v>0</v>
      </c>
      <c r="N45" s="48">
        <f>员工业绩!U127</f>
        <v>2.4615384615384617</v>
      </c>
      <c r="O45" s="48">
        <f>员工业绩!U128</f>
        <v>3.591836734693878</v>
      </c>
      <c r="P45" s="48">
        <f>员工业绩!U129</f>
        <v>2.6938775510204085</v>
      </c>
      <c r="Q45" s="48">
        <f>员工业绩!U130</f>
        <v>2.8571428571428577</v>
      </c>
      <c r="R45" s="65">
        <f t="shared" si="1"/>
        <v>11.604395604395606</v>
      </c>
      <c r="S45" s="61">
        <f>员工业绩!U131</f>
        <v>5.5555555555555562</v>
      </c>
      <c r="T45" s="48">
        <f>员工业绩!U132</f>
        <v>3.8888888888888888</v>
      </c>
      <c r="U45" s="65">
        <f t="shared" si="2"/>
        <v>9.4444444444444446</v>
      </c>
      <c r="V45" s="62">
        <f t="shared" si="3"/>
        <v>70.562404477719184</v>
      </c>
      <c r="W45" s="61">
        <f>员工业绩!U133</f>
        <v>0</v>
      </c>
      <c r="X45" s="48">
        <f>员工业绩!U134</f>
        <v>0</v>
      </c>
      <c r="Y45" s="48">
        <f>员工业绩!U135</f>
        <v>0</v>
      </c>
      <c r="Z45" s="48">
        <f>员工业绩!U136</f>
        <v>0</v>
      </c>
      <c r="AA45" s="48">
        <f>员工业绩!U137</f>
        <v>0</v>
      </c>
      <c r="AB45" s="48">
        <f>员工业绩!U138</f>
        <v>0</v>
      </c>
      <c r="AC45" s="48">
        <f>员工业绩!U139</f>
        <v>0</v>
      </c>
      <c r="AD45" s="65">
        <f t="shared" si="4"/>
        <v>0</v>
      </c>
      <c r="AE45" s="61">
        <f>员工业绩!U140</f>
        <v>0.5</v>
      </c>
      <c r="AF45" s="65">
        <f t="shared" si="5"/>
        <v>0.5</v>
      </c>
      <c r="AG45" s="61">
        <f t="shared" si="6"/>
        <v>71.062404477719184</v>
      </c>
      <c r="AH45" s="70">
        <v>30000</v>
      </c>
      <c r="AI45" s="71">
        <f t="shared" si="7"/>
        <v>21318.721343315756</v>
      </c>
    </row>
    <row r="46" spans="1:35" ht="18" customHeight="1" x14ac:dyDescent="0.2">
      <c r="A46" s="47" t="s">
        <v>287</v>
      </c>
      <c r="B46" s="47" t="s">
        <v>271</v>
      </c>
      <c r="C46" s="48">
        <f>员工业绩!V117</f>
        <v>11.313131313131315</v>
      </c>
      <c r="D46" s="48">
        <f>员工业绩!V118</f>
        <v>3.7525773195876293</v>
      </c>
      <c r="E46" s="48">
        <f>员工业绩!V119</f>
        <v>0</v>
      </c>
      <c r="F46" s="48">
        <f>员工业绩!V120</f>
        <v>0</v>
      </c>
      <c r="G46" s="48">
        <f>员工业绩!V121</f>
        <v>5.7142857142857144</v>
      </c>
      <c r="H46" s="48">
        <f>员工业绩!V122</f>
        <v>1.5473684210526315</v>
      </c>
      <c r="I46" s="48">
        <f>员工业绩!V123</f>
        <v>7.2916666666666679</v>
      </c>
      <c r="J46" s="48">
        <f>员工业绩!V124</f>
        <v>3</v>
      </c>
      <c r="K46" s="48">
        <f>员工业绩!V125</f>
        <v>5.6565656565656575</v>
      </c>
      <c r="L46" s="69">
        <f t="shared" si="0"/>
        <v>38.275595091289617</v>
      </c>
      <c r="M46" s="61">
        <f>员工业绩!V126</f>
        <v>0</v>
      </c>
      <c r="N46" s="48">
        <f>员工业绩!V127</f>
        <v>1.8461538461538463</v>
      </c>
      <c r="O46" s="48">
        <f>员工业绩!V128</f>
        <v>4</v>
      </c>
      <c r="P46" s="48">
        <f>员工业绩!V129</f>
        <v>2.1224489795918369</v>
      </c>
      <c r="Q46" s="48">
        <f>员工业绩!V130</f>
        <v>3.2653061224489797</v>
      </c>
      <c r="R46" s="65">
        <f t="shared" si="1"/>
        <v>11.233908948194664</v>
      </c>
      <c r="S46" s="61">
        <f>员工业绩!V131</f>
        <v>5</v>
      </c>
      <c r="T46" s="48">
        <f>员工业绩!V132</f>
        <v>4.4444444444444455</v>
      </c>
      <c r="U46" s="65">
        <f t="shared" si="2"/>
        <v>9.4444444444444464</v>
      </c>
      <c r="V46" s="62">
        <f t="shared" si="3"/>
        <v>58.953948483928727</v>
      </c>
      <c r="W46" s="61">
        <f>员工业绩!V133</f>
        <v>2</v>
      </c>
      <c r="X46" s="48">
        <f>员工业绩!V134</f>
        <v>0</v>
      </c>
      <c r="Y46" s="48">
        <f>员工业绩!V135</f>
        <v>0</v>
      </c>
      <c r="Z46" s="48">
        <f>员工业绩!V136</f>
        <v>0</v>
      </c>
      <c r="AA46" s="48">
        <f>员工业绩!V137</f>
        <v>0</v>
      </c>
      <c r="AB46" s="48">
        <f>员工业绩!V138</f>
        <v>0</v>
      </c>
      <c r="AC46" s="48">
        <f>员工业绩!V139</f>
        <v>0</v>
      </c>
      <c r="AD46" s="65">
        <f t="shared" si="4"/>
        <v>2</v>
      </c>
      <c r="AE46" s="61">
        <f>员工业绩!V140</f>
        <v>3</v>
      </c>
      <c r="AF46" s="65">
        <f t="shared" si="5"/>
        <v>3</v>
      </c>
      <c r="AG46" s="61">
        <f t="shared" si="6"/>
        <v>63.953948483928727</v>
      </c>
      <c r="AH46" s="70">
        <v>30000</v>
      </c>
      <c r="AI46" s="71">
        <f t="shared" si="7"/>
        <v>19186.184545178618</v>
      </c>
    </row>
    <row r="47" spans="1:35" ht="18" customHeight="1" x14ac:dyDescent="0.2">
      <c r="A47" s="47" t="s">
        <v>287</v>
      </c>
      <c r="B47" s="47" t="s">
        <v>272</v>
      </c>
      <c r="C47" s="48">
        <f>员工业绩!W117</f>
        <v>12.727272727272728</v>
      </c>
      <c r="D47" s="48">
        <f>员工业绩!W118</f>
        <v>6.3505154639175263</v>
      </c>
      <c r="E47" s="48">
        <f>员工业绩!W119</f>
        <v>7.1428571428571438E-2</v>
      </c>
      <c r="F47" s="48">
        <f>员工业绩!W120</f>
        <v>10</v>
      </c>
      <c r="G47" s="48">
        <f>员工业绩!W121</f>
        <v>6.4285714285714297</v>
      </c>
      <c r="H47" s="48">
        <f>员工业绩!W122</f>
        <v>3.6105263157894734</v>
      </c>
      <c r="I47" s="48">
        <f>员工业绩!W123</f>
        <v>7.2916666666666679</v>
      </c>
      <c r="J47" s="48">
        <f>员工业绩!W124</f>
        <v>7</v>
      </c>
      <c r="K47" s="48">
        <f>员工业绩!W125</f>
        <v>6.3636363636363642</v>
      </c>
      <c r="L47" s="69">
        <f t="shared" si="0"/>
        <v>59.843617537282761</v>
      </c>
      <c r="M47" s="61">
        <f>员工业绩!W126</f>
        <v>4</v>
      </c>
      <c r="N47" s="48">
        <f>员工业绩!W127</f>
        <v>4</v>
      </c>
      <c r="O47" s="48">
        <f>员工业绩!W128</f>
        <v>2.285714285714286</v>
      </c>
      <c r="P47" s="48">
        <f>员工业绩!W129</f>
        <v>3.6734693877551026</v>
      </c>
      <c r="Q47" s="48">
        <f>员工业绩!W130</f>
        <v>3.6734693877551026</v>
      </c>
      <c r="R47" s="65">
        <f t="shared" si="1"/>
        <v>17.632653061224492</v>
      </c>
      <c r="S47" s="61">
        <f>员工业绩!W131</f>
        <v>2.7777777777777781</v>
      </c>
      <c r="T47" s="48">
        <f>员工业绩!W132</f>
        <v>5</v>
      </c>
      <c r="U47" s="65">
        <f t="shared" si="2"/>
        <v>7.7777777777777786</v>
      </c>
      <c r="V47" s="62">
        <f t="shared" si="3"/>
        <v>85.254048376285027</v>
      </c>
      <c r="W47" s="61">
        <f>员工业绩!W133</f>
        <v>0</v>
      </c>
      <c r="X47" s="48">
        <f>员工业绩!W134</f>
        <v>0</v>
      </c>
      <c r="Y47" s="48">
        <f>员工业绩!W135</f>
        <v>0</v>
      </c>
      <c r="Z47" s="48">
        <f>员工业绩!W136</f>
        <v>0</v>
      </c>
      <c r="AA47" s="48">
        <f>员工业绩!W137</f>
        <v>0</v>
      </c>
      <c r="AB47" s="48">
        <f>员工业绩!W138</f>
        <v>0</v>
      </c>
      <c r="AC47" s="48">
        <f>员工业绩!W139</f>
        <v>0</v>
      </c>
      <c r="AD47" s="65">
        <f t="shared" si="4"/>
        <v>0</v>
      </c>
      <c r="AE47" s="61">
        <f>员工业绩!W140</f>
        <v>5</v>
      </c>
      <c r="AF47" s="65">
        <f t="shared" si="5"/>
        <v>5</v>
      </c>
      <c r="AG47" s="61">
        <f t="shared" si="6"/>
        <v>90.254048376285027</v>
      </c>
      <c r="AH47" s="70">
        <v>30000</v>
      </c>
      <c r="AI47" s="71">
        <f t="shared" si="7"/>
        <v>27076.214512885505</v>
      </c>
    </row>
    <row r="48" spans="1:35" ht="16.5" x14ac:dyDescent="0.2">
      <c r="A48" s="47" t="s">
        <v>300</v>
      </c>
      <c r="B48" s="47" t="s">
        <v>300</v>
      </c>
      <c r="C48" s="72">
        <f>SUM(C40:C47)</f>
        <v>95.454545454545453</v>
      </c>
      <c r="D48" s="72">
        <f t="shared" ref="D48:AG48" si="23">SUM(D40:D47)</f>
        <v>41.855670103092784</v>
      </c>
      <c r="E48" s="72">
        <f t="shared" si="23"/>
        <v>0.35714285714285721</v>
      </c>
      <c r="F48" s="72">
        <f t="shared" si="23"/>
        <v>35</v>
      </c>
      <c r="G48" s="72">
        <f t="shared" si="23"/>
        <v>44.714285714285715</v>
      </c>
      <c r="H48" s="72">
        <f t="shared" si="23"/>
        <v>29.403684210526318</v>
      </c>
      <c r="I48" s="72">
        <f t="shared" si="23"/>
        <v>58.333333333333357</v>
      </c>
      <c r="J48" s="72">
        <f t="shared" si="23"/>
        <v>50.642857142857139</v>
      </c>
      <c r="K48" s="72">
        <f t="shared" si="23"/>
        <v>49.919191919191924</v>
      </c>
      <c r="L48" s="73">
        <f t="shared" si="23"/>
        <v>405.68071073497555</v>
      </c>
      <c r="M48" s="74">
        <f t="shared" si="23"/>
        <v>20</v>
      </c>
      <c r="N48" s="72">
        <f t="shared" si="23"/>
        <v>27.384615384615387</v>
      </c>
      <c r="O48" s="72">
        <f t="shared" si="23"/>
        <v>28.530612244897959</v>
      </c>
      <c r="P48" s="72">
        <f t="shared" si="23"/>
        <v>25.020408163265312</v>
      </c>
      <c r="Q48" s="72">
        <f t="shared" si="23"/>
        <v>28.816326530612248</v>
      </c>
      <c r="R48" s="75">
        <f t="shared" si="23"/>
        <v>129.7519623233909</v>
      </c>
      <c r="S48" s="74">
        <f t="shared" si="23"/>
        <v>38.44444444444445</v>
      </c>
      <c r="T48" s="72">
        <f t="shared" si="23"/>
        <v>36.3888888888889</v>
      </c>
      <c r="U48" s="75">
        <f t="shared" si="23"/>
        <v>74.833333333333343</v>
      </c>
      <c r="V48" s="76">
        <f t="shared" si="23"/>
        <v>610.26600639169976</v>
      </c>
      <c r="W48" s="74">
        <f t="shared" si="23"/>
        <v>2</v>
      </c>
      <c r="X48" s="72">
        <f t="shared" si="23"/>
        <v>10</v>
      </c>
      <c r="Y48" s="72">
        <f t="shared" si="23"/>
        <v>0</v>
      </c>
      <c r="Z48" s="72">
        <f t="shared" si="23"/>
        <v>0</v>
      </c>
      <c r="AA48" s="72">
        <f t="shared" si="23"/>
        <v>-2</v>
      </c>
      <c r="AB48" s="72">
        <f t="shared" si="23"/>
        <v>0</v>
      </c>
      <c r="AC48" s="72">
        <f t="shared" si="23"/>
        <v>-2</v>
      </c>
      <c r="AD48" s="75">
        <f t="shared" si="23"/>
        <v>8</v>
      </c>
      <c r="AE48" s="74">
        <f t="shared" si="23"/>
        <v>19.5</v>
      </c>
      <c r="AF48" s="75">
        <f t="shared" si="23"/>
        <v>19.5</v>
      </c>
      <c r="AG48" s="74">
        <f t="shared" si="23"/>
        <v>637.76600639169976</v>
      </c>
      <c r="AH48" s="70">
        <v>30000</v>
      </c>
      <c r="AI48" s="71">
        <f>SUM(AI40:AI47)</f>
        <v>191329.80191750993</v>
      </c>
    </row>
  </sheetData>
  <mergeCells count="2">
    <mergeCell ref="A1:AI1"/>
    <mergeCell ref="A2:AI2"/>
  </mergeCells>
  <phoneticPr fontId="1" type="noConversion"/>
  <pageMargins left="0.7" right="0.7" top="0.75" bottom="0.75" header="0.3" footer="0.3"/>
  <pageSetup paperSize="9" scale="60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看板</vt:lpstr>
      <vt:lpstr>KPI指标及权重设计表</vt:lpstr>
      <vt:lpstr>员工业绩</vt:lpstr>
      <vt:lpstr>考核汇总表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2021-02-05T01:36:27Z</cp:lastPrinted>
  <dcterms:created xsi:type="dcterms:W3CDTF">2015-06-05T18:19:34Z</dcterms:created>
  <dcterms:modified xsi:type="dcterms:W3CDTF">2021-02-05T01:36:44Z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  <property fmtid="{D5CDD505-2E9C-101B-9397-08002B2CF9AE}" pid="3" name="KSOTemplateUUID">
    <vt:lpwstr>v1.0_mb_9kjAxZpaN5DmBtWXJiKYzA==</vt:lpwstr>
  </property>
</Properties>
</file>