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 activeTab="1"/>
  </bookViews>
  <sheets>
    <sheet name="数据" sheetId="1" r:id="rId1"/>
    <sheet name="看板" sheetId="2" r:id="rId2"/>
  </sheets>
  <calcPr calcId="144525"/>
</workbook>
</file>

<file path=xl/sharedStrings.xml><?xml version="1.0" encoding="utf-8"?>
<sst xmlns="http://schemas.openxmlformats.org/spreadsheetml/2006/main" count="57" uniqueCount="52">
  <si>
    <t>看板基本信息表</t>
  </si>
  <si>
    <r>
      <rPr>
        <sz val="10"/>
        <color theme="1"/>
        <rFont val="微软雅黑"/>
        <charset val="134"/>
      </rPr>
      <t>各部门人员结构</t>
    </r>
  </si>
  <si>
    <r>
      <rPr>
        <sz val="10"/>
        <color theme="1"/>
        <rFont val="微软雅黑"/>
        <charset val="134"/>
      </rPr>
      <t>学历结构</t>
    </r>
  </si>
  <si>
    <r>
      <rPr>
        <sz val="10"/>
        <color theme="1"/>
        <rFont val="微软雅黑"/>
        <charset val="134"/>
      </rPr>
      <t>年龄</t>
    </r>
  </si>
  <si>
    <r>
      <rPr>
        <sz val="10"/>
        <color theme="1"/>
        <rFont val="微软雅黑"/>
        <charset val="134"/>
      </rPr>
      <t>婚姻</t>
    </r>
  </si>
  <si>
    <r>
      <rPr>
        <sz val="10"/>
        <color theme="1"/>
        <rFont val="微软雅黑"/>
        <charset val="134"/>
      </rPr>
      <t>部门</t>
    </r>
  </si>
  <si>
    <r>
      <rPr>
        <sz val="10"/>
        <color theme="1"/>
        <rFont val="微软雅黑"/>
        <charset val="134"/>
      </rPr>
      <t>人数</t>
    </r>
  </si>
  <si>
    <r>
      <rPr>
        <sz val="10"/>
        <color theme="1"/>
        <rFont val="微软雅黑"/>
        <charset val="134"/>
      </rPr>
      <t>学历</t>
    </r>
  </si>
  <si>
    <r>
      <rPr>
        <sz val="10"/>
        <color theme="1"/>
        <rFont val="微软雅黑"/>
        <charset val="134"/>
      </rPr>
      <t>年龄段</t>
    </r>
  </si>
  <si>
    <r>
      <rPr>
        <sz val="10"/>
        <color theme="1"/>
        <rFont val="微软雅黑"/>
        <charset val="134"/>
      </rPr>
      <t>状况</t>
    </r>
  </si>
  <si>
    <r>
      <rPr>
        <sz val="10"/>
        <color theme="1"/>
        <rFont val="等线"/>
        <charset val="134"/>
      </rPr>
      <t>辅助</t>
    </r>
  </si>
  <si>
    <r>
      <rPr>
        <sz val="10"/>
        <color theme="1"/>
        <rFont val="微软雅黑"/>
        <charset val="134"/>
      </rPr>
      <t>人力资源部</t>
    </r>
  </si>
  <si>
    <r>
      <rPr>
        <sz val="10"/>
        <color theme="1"/>
        <rFont val="微软雅黑"/>
        <charset val="134"/>
      </rPr>
      <t>小学</t>
    </r>
  </si>
  <si>
    <t>18-20</t>
  </si>
  <si>
    <r>
      <rPr>
        <sz val="10"/>
        <color theme="1"/>
        <rFont val="微软雅黑"/>
        <charset val="134"/>
      </rPr>
      <t>已婚</t>
    </r>
  </si>
  <si>
    <r>
      <rPr>
        <sz val="10"/>
        <color theme="1"/>
        <rFont val="微软雅黑"/>
        <charset val="134"/>
      </rPr>
      <t>财务部</t>
    </r>
  </si>
  <si>
    <r>
      <rPr>
        <sz val="10"/>
        <color theme="1"/>
        <rFont val="微软雅黑"/>
        <charset val="134"/>
      </rPr>
      <t>初中</t>
    </r>
  </si>
  <si>
    <t>20-30</t>
  </si>
  <si>
    <r>
      <rPr>
        <sz val="10"/>
        <color theme="1"/>
        <rFont val="微软雅黑"/>
        <charset val="134"/>
      </rPr>
      <t>未婚</t>
    </r>
  </si>
  <si>
    <r>
      <rPr>
        <sz val="10"/>
        <color theme="1"/>
        <rFont val="微软雅黑"/>
        <charset val="134"/>
      </rPr>
      <t>公关部</t>
    </r>
  </si>
  <si>
    <r>
      <rPr>
        <sz val="10"/>
        <color theme="1"/>
        <rFont val="微软雅黑"/>
        <charset val="134"/>
      </rPr>
      <t>中专</t>
    </r>
  </si>
  <si>
    <t>30-40</t>
  </si>
  <si>
    <t>人员总计</t>
  </si>
  <si>
    <r>
      <rPr>
        <sz val="10"/>
        <color theme="1"/>
        <rFont val="微软雅黑"/>
        <charset val="134"/>
      </rPr>
      <t>融资部</t>
    </r>
  </si>
  <si>
    <r>
      <rPr>
        <sz val="10"/>
        <color theme="1"/>
        <rFont val="微软雅黑"/>
        <charset val="134"/>
      </rPr>
      <t>大专</t>
    </r>
  </si>
  <si>
    <t>40-50</t>
  </si>
  <si>
    <r>
      <rPr>
        <sz val="10"/>
        <color theme="1"/>
        <rFont val="微软雅黑"/>
        <charset val="134"/>
      </rPr>
      <t>人员来源地</t>
    </r>
  </si>
  <si>
    <r>
      <rPr>
        <sz val="10"/>
        <color theme="1"/>
        <rFont val="微软雅黑"/>
        <charset val="134"/>
      </rPr>
      <t>设计部</t>
    </r>
  </si>
  <si>
    <r>
      <rPr>
        <sz val="10"/>
        <color theme="1"/>
        <rFont val="微软雅黑"/>
        <charset val="134"/>
      </rPr>
      <t>高中</t>
    </r>
  </si>
  <si>
    <r>
      <rPr>
        <sz val="10"/>
        <color theme="1"/>
        <rFont val="Arial"/>
        <charset val="134"/>
      </rPr>
      <t>50</t>
    </r>
    <r>
      <rPr>
        <sz val="10"/>
        <color theme="1"/>
        <rFont val="微软雅黑"/>
        <charset val="134"/>
      </rPr>
      <t>以上</t>
    </r>
  </si>
  <si>
    <r>
      <rPr>
        <sz val="10"/>
        <color theme="1"/>
        <rFont val="微软雅黑"/>
        <charset val="134"/>
      </rPr>
      <t>来源地</t>
    </r>
  </si>
  <si>
    <r>
      <rPr>
        <sz val="10"/>
        <color theme="1"/>
        <rFont val="微软雅黑"/>
        <charset val="134"/>
      </rPr>
      <t>预算部</t>
    </r>
  </si>
  <si>
    <r>
      <rPr>
        <sz val="10"/>
        <color theme="1"/>
        <rFont val="微软雅黑"/>
        <charset val="134"/>
      </rPr>
      <t>本科</t>
    </r>
  </si>
  <si>
    <r>
      <rPr>
        <sz val="10"/>
        <color theme="1"/>
        <rFont val="微软雅黑"/>
        <charset val="134"/>
      </rPr>
      <t>本地</t>
    </r>
  </si>
  <si>
    <r>
      <rPr>
        <sz val="10"/>
        <color theme="1"/>
        <rFont val="微软雅黑"/>
        <charset val="134"/>
      </rPr>
      <t>工程部</t>
    </r>
  </si>
  <si>
    <r>
      <rPr>
        <sz val="10"/>
        <color theme="1"/>
        <rFont val="微软雅黑"/>
        <charset val="134"/>
      </rPr>
      <t>研究生</t>
    </r>
  </si>
  <si>
    <r>
      <rPr>
        <sz val="10"/>
        <color theme="1"/>
        <rFont val="微软雅黑"/>
        <charset val="134"/>
      </rPr>
      <t>工资结构</t>
    </r>
  </si>
  <si>
    <r>
      <rPr>
        <sz val="10"/>
        <color theme="1"/>
        <rFont val="微软雅黑"/>
        <charset val="134"/>
      </rPr>
      <t>外地</t>
    </r>
  </si>
  <si>
    <r>
      <rPr>
        <sz val="10"/>
        <color theme="1"/>
        <rFont val="微软雅黑"/>
        <charset val="134"/>
      </rPr>
      <t>策划部</t>
    </r>
  </si>
  <si>
    <r>
      <rPr>
        <sz val="10"/>
        <color theme="1"/>
        <rFont val="微软雅黑"/>
        <charset val="134"/>
      </rPr>
      <t>博士</t>
    </r>
  </si>
  <si>
    <t>2000-3000</t>
  </si>
  <si>
    <r>
      <rPr>
        <sz val="10"/>
        <color theme="1"/>
        <rFont val="微软雅黑"/>
        <charset val="134"/>
      </rPr>
      <t>营销部</t>
    </r>
  </si>
  <si>
    <t>3000-5000</t>
  </si>
  <si>
    <r>
      <rPr>
        <sz val="10"/>
        <color theme="1"/>
        <rFont val="微软雅黑"/>
        <charset val="134"/>
      </rPr>
      <t>男女人员结构</t>
    </r>
  </si>
  <si>
    <r>
      <rPr>
        <sz val="10"/>
        <color theme="1"/>
        <rFont val="微软雅黑"/>
        <charset val="134"/>
      </rPr>
      <t>综合部等</t>
    </r>
  </si>
  <si>
    <t>5000-8000</t>
  </si>
  <si>
    <r>
      <rPr>
        <sz val="10"/>
        <color theme="1"/>
        <rFont val="微软雅黑"/>
        <charset val="134"/>
      </rPr>
      <t>性别</t>
    </r>
  </si>
  <si>
    <t>8000-12000</t>
  </si>
  <si>
    <r>
      <rPr>
        <sz val="10"/>
        <color theme="1"/>
        <rFont val="微软雅黑"/>
        <charset val="134"/>
      </rPr>
      <t>男</t>
    </r>
  </si>
  <si>
    <t>12000-20000</t>
  </si>
  <si>
    <r>
      <rPr>
        <sz val="10"/>
        <color theme="1"/>
        <rFont val="微软雅黑"/>
        <charset val="134"/>
      </rPr>
      <t>女</t>
    </r>
  </si>
  <si>
    <t>公司人员结构看板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</si>
</sst>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6">
    <font>
      <sz val="11"/>
      <color theme="1"/>
      <name val="等线"/>
      <charset val="134"/>
      <scheme val="minor"/>
    </font>
    <font>
      <b/>
      <sz val="28"/>
      <color theme="0"/>
      <name val="微软雅黑"/>
      <charset val="134"/>
    </font>
    <font>
      <b/>
      <sz val="20"/>
      <color theme="1"/>
      <name val="微软雅黑"/>
      <charset val="134"/>
    </font>
    <font>
      <sz val="10"/>
      <color theme="1"/>
      <name val="Arial"/>
      <charset val="134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0"/>
      <color theme="1"/>
      <name val="微软雅黑"/>
      <charset val="134"/>
    </font>
    <font>
      <sz val="10"/>
      <color theme="1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B1A3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0" tint="-0.14996795556505"/>
      </left>
      <right/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6795556505"/>
      </right>
      <top/>
      <bottom/>
      <diagonal/>
    </border>
    <border>
      <left/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12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29" borderId="13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16" borderId="9" applyNumberFormat="0" applyAlignment="0" applyProtection="0">
      <alignment vertical="center"/>
    </xf>
    <xf numFmtId="0" fontId="20" fillId="16" borderId="7" applyNumberFormat="0" applyAlignment="0" applyProtection="0">
      <alignment vertical="center"/>
    </xf>
    <xf numFmtId="0" fontId="19" fillId="22" borderId="12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B1A3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4" Type="http://schemas.microsoft.com/office/2011/relationships/chartColorStyle" Target="colors5.xml"/><Relationship Id="rId3" Type="http://schemas.microsoft.com/office/2011/relationships/chartStyle" Target="style5.xml"/><Relationship Id="rId2" Type="http://schemas.openxmlformats.org/officeDocument/2006/relationships/image" Target="../media/image1.png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4" Type="http://schemas.microsoft.com/office/2011/relationships/chartColorStyle" Target="colors6.xml"/><Relationship Id="rId3" Type="http://schemas.microsoft.com/office/2011/relationships/chartStyle" Target="style6.xml"/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数据!$C$3</c:f>
              <c:strCache>
                <c:ptCount val="1"/>
                <c:pt idx="0">
                  <c:v>人数</c:v>
                </c:pt>
              </c:strCache>
            </c:strRef>
          </c:tx>
          <c:spPr>
            <a:gradFill flip="none" rotWithShape="1">
              <a:gsLst>
                <a:gs pos="0">
                  <a:srgbClr val="1E82F7">
                    <a:lumMod val="68000"/>
                    <a:lumOff val="32000"/>
                    <a:alpha val="18000"/>
                  </a:srgbClr>
                </a:gs>
                <a:gs pos="100000">
                  <a:srgbClr val="1E86ED"/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微软雅黑" panose="020B0503020204020204" pitchFamily="34" charset="-122"/>
                    <a:cs typeface="Arial" panose="020B0604020202020204" pitchFamily="7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数据!$B$4:$B$13</c:f>
              <c:strCache>
                <c:ptCount val="10"/>
                <c:pt idx="0">
                  <c:v>人力资源部</c:v>
                </c:pt>
                <c:pt idx="1">
                  <c:v>财务部</c:v>
                </c:pt>
                <c:pt idx="2">
                  <c:v>公关部</c:v>
                </c:pt>
                <c:pt idx="3">
                  <c:v>融资部</c:v>
                </c:pt>
                <c:pt idx="4">
                  <c:v>设计部</c:v>
                </c:pt>
                <c:pt idx="5">
                  <c:v>预算部</c:v>
                </c:pt>
                <c:pt idx="6">
                  <c:v>工程部</c:v>
                </c:pt>
                <c:pt idx="7">
                  <c:v>策划部</c:v>
                </c:pt>
                <c:pt idx="8">
                  <c:v>营销部</c:v>
                </c:pt>
                <c:pt idx="9">
                  <c:v>综合部等</c:v>
                </c:pt>
              </c:strCache>
            </c:strRef>
          </c:cat>
          <c:val>
            <c:numRef>
              <c:f>数据!$C$4:$C$13</c:f>
              <c:numCache>
                <c:formatCode>General</c:formatCode>
                <c:ptCount val="10"/>
                <c:pt idx="0">
                  <c:v>34</c:v>
                </c:pt>
                <c:pt idx="1">
                  <c:v>28</c:v>
                </c:pt>
                <c:pt idx="2">
                  <c:v>49</c:v>
                </c:pt>
                <c:pt idx="3">
                  <c:v>4</c:v>
                </c:pt>
                <c:pt idx="4">
                  <c:v>38</c:v>
                </c:pt>
                <c:pt idx="5">
                  <c:v>37</c:v>
                </c:pt>
                <c:pt idx="6">
                  <c:v>18</c:v>
                </c:pt>
                <c:pt idx="7">
                  <c:v>18</c:v>
                </c:pt>
                <c:pt idx="8">
                  <c:v>25</c:v>
                </c:pt>
                <c:pt idx="9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6251056"/>
        <c:axId val="1646202464"/>
      </c:barChart>
      <c:catAx>
        <c:axId val="164625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Arial" panose="020B0604020202020204" pitchFamily="7" charset="0"/>
                <a:ea typeface="微软雅黑" panose="020B0503020204020204" pitchFamily="34" charset="-122"/>
                <a:cs typeface="Arial" panose="020B0604020202020204" pitchFamily="7" charset="0"/>
              </a:defRPr>
            </a:pPr>
          </a:p>
        </c:txPr>
        <c:crossAx val="1646202464"/>
        <c:crosses val="autoZero"/>
        <c:auto val="1"/>
        <c:lblAlgn val="ctr"/>
        <c:lblOffset val="100"/>
        <c:noMultiLvlLbl val="0"/>
      </c:catAx>
      <c:valAx>
        <c:axId val="16462024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Arial" panose="020B0604020202020204" pitchFamily="7" charset="0"/>
                <a:ea typeface="微软雅黑" panose="020B0503020204020204" pitchFamily="34" charset="-122"/>
                <a:cs typeface="Arial" panose="020B0604020202020204" pitchFamily="7" charset="0"/>
              </a:defRPr>
            </a:pPr>
          </a:p>
        </c:txPr>
        <c:crossAx val="164625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900">
          <a:solidFill>
            <a:schemeClr val="bg1"/>
          </a:solidFill>
          <a:latin typeface="Arial" panose="020B0604020202020204" pitchFamily="7" charset="0"/>
          <a:ea typeface="微软雅黑" panose="020B0503020204020204" pitchFamily="34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tx>
            <c:strRef>
              <c:f>数据!$F$3</c:f>
              <c:strCache>
                <c:ptCount val="1"/>
                <c:pt idx="0">
                  <c:v>人数</c:v>
                </c:pt>
              </c:strCache>
            </c:strRef>
          </c:tx>
          <c:spPr>
            <a:solidFill>
              <a:srgbClr val="1E82F7"/>
            </a:solidFill>
            <a:ln w="19050">
              <a:noFill/>
            </a:ln>
          </c:spPr>
          <c:explosion val="0"/>
          <c:dPt>
            <c:idx val="0"/>
            <c:bubble3D val="0"/>
            <c:spPr>
              <a:solidFill>
                <a:srgbClr val="7030A0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rgbClr val="002060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</c:dPt>
          <c:dPt>
            <c:idx val="3"/>
            <c:bubble3D val="0"/>
            <c:spPr>
              <a:solidFill>
                <a:srgbClr val="44546A">
                  <a:lumMod val="60000"/>
                  <a:lumOff val="40000"/>
                </a:srgbClr>
              </a:solidFill>
              <a:ln w="19050">
                <a:noFill/>
              </a:ln>
              <a:effectLst/>
            </c:spPr>
          </c:dPt>
          <c:dPt>
            <c:idx val="4"/>
            <c:bubble3D val="0"/>
            <c:spPr>
              <a:solidFill>
                <a:srgbClr val="1E86ED"/>
              </a:solidFill>
              <a:ln w="19050">
                <a:noFill/>
              </a:ln>
              <a:effectLst/>
            </c:spPr>
          </c:dPt>
          <c:dPt>
            <c:idx val="5"/>
            <c:bubble3D val="0"/>
            <c:spPr>
              <a:solidFill>
                <a:srgbClr val="06DD8C"/>
              </a:solidFill>
              <a:ln w="19050">
                <a:noFill/>
              </a:ln>
              <a:effectLst/>
            </c:spPr>
          </c:dPt>
          <c:dPt>
            <c:idx val="6"/>
            <c:bubble3D val="0"/>
            <c:spPr>
              <a:solidFill>
                <a:srgbClr val="EEAC3A"/>
              </a:solidFill>
              <a:ln w="19050">
                <a:noFill/>
              </a:ln>
              <a:effectLst/>
            </c:spPr>
          </c:dPt>
          <c:dPt>
            <c:idx val="7"/>
            <c:bubble3D val="0"/>
            <c:spPr>
              <a:solidFill>
                <a:srgbClr val="F5435E"/>
              </a:solidFill>
              <a:ln w="19050"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微软雅黑" panose="020B0503020204020204" pitchFamily="34" charset="-122"/>
                    <a:cs typeface="Arial" panose="020B0604020202020204" pitchFamily="7" charset="0"/>
                  </a:defRPr>
                </a:pPr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数据!$E$4:$E$11</c:f>
              <c:strCache>
                <c:ptCount val="8"/>
                <c:pt idx="0">
                  <c:v>小学</c:v>
                </c:pt>
                <c:pt idx="1">
                  <c:v>初中</c:v>
                </c:pt>
                <c:pt idx="2">
                  <c:v>中专</c:v>
                </c:pt>
                <c:pt idx="3">
                  <c:v>大专</c:v>
                </c:pt>
                <c:pt idx="4">
                  <c:v>高中</c:v>
                </c:pt>
                <c:pt idx="5">
                  <c:v>本科</c:v>
                </c:pt>
                <c:pt idx="6">
                  <c:v>研究生</c:v>
                </c:pt>
                <c:pt idx="7">
                  <c:v>博士</c:v>
                </c:pt>
              </c:strCache>
            </c:strRef>
          </c:cat>
          <c:val>
            <c:numRef>
              <c:f>数据!$F$4:$F$11</c:f>
              <c:numCache>
                <c:formatCode>General</c:formatCode>
                <c:ptCount val="8"/>
                <c:pt idx="0">
                  <c:v>25</c:v>
                </c:pt>
                <c:pt idx="1">
                  <c:v>45</c:v>
                </c:pt>
                <c:pt idx="2">
                  <c:v>50</c:v>
                </c:pt>
                <c:pt idx="3">
                  <c:v>36</c:v>
                </c:pt>
                <c:pt idx="4">
                  <c:v>50</c:v>
                </c:pt>
                <c:pt idx="5">
                  <c:v>25</c:v>
                </c:pt>
                <c:pt idx="6">
                  <c:v>12</c:v>
                </c:pt>
                <c:pt idx="7">
                  <c:v>6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数据!$I$3</c:f>
              <c:strCache>
                <c:ptCount val="1"/>
                <c:pt idx="0">
                  <c:v>人数</c:v>
                </c:pt>
              </c:strCache>
            </c:strRef>
          </c:tx>
          <c:spPr>
            <a:gradFill>
              <a:gsLst>
                <a:gs pos="0">
                  <a:srgbClr val="F5435E">
                    <a:alpha val="0"/>
                  </a:srgbClr>
                </a:gs>
                <a:gs pos="100000">
                  <a:srgbClr val="F5435E"/>
                </a:gs>
              </a:gsLst>
              <a:lin ang="0" scaled="1"/>
            </a:gradFill>
            <a:ln w="38100" cap="rnd">
              <a:solidFill>
                <a:srgbClr val="0B1A39"/>
              </a:solidFill>
              <a:prstDash val="sysDot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微软雅黑" panose="020B0503020204020204" pitchFamily="34" charset="-122"/>
                    <a:cs typeface="Arial" panose="020B0604020202020204" pitchFamily="7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数据!$H$4:$H$8</c:f>
              <c:strCache>
                <c:ptCount val="5"/>
                <c:pt idx="0">
                  <c:v>18-20</c:v>
                </c:pt>
                <c:pt idx="1">
                  <c:v>20-30</c:v>
                </c:pt>
                <c:pt idx="2">
                  <c:v>30-40</c:v>
                </c:pt>
                <c:pt idx="3">
                  <c:v>40-50</c:v>
                </c:pt>
                <c:pt idx="4">
                  <c:v>50以上</c:v>
                </c:pt>
              </c:strCache>
            </c:strRef>
          </c:cat>
          <c:val>
            <c:numRef>
              <c:f>数据!$I$4:$I$8</c:f>
              <c:numCache>
                <c:formatCode>General</c:formatCode>
                <c:ptCount val="5"/>
                <c:pt idx="0">
                  <c:v>16</c:v>
                </c:pt>
                <c:pt idx="1">
                  <c:v>49</c:v>
                </c:pt>
                <c:pt idx="2">
                  <c:v>9</c:v>
                </c:pt>
                <c:pt idx="3">
                  <c:v>33</c:v>
                </c:pt>
                <c:pt idx="4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8"/>
        <c:axId val="1647270128"/>
        <c:axId val="1770498816"/>
      </c:barChart>
      <c:catAx>
        <c:axId val="16472701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Arial" panose="020B0604020202020204" pitchFamily="7" charset="0"/>
                <a:ea typeface="微软雅黑" panose="020B0503020204020204" pitchFamily="34" charset="-122"/>
                <a:cs typeface="Arial" panose="020B0604020202020204" pitchFamily="7" charset="0"/>
              </a:defRPr>
            </a:pPr>
          </a:p>
        </c:txPr>
        <c:crossAx val="1770498816"/>
        <c:crosses val="autoZero"/>
        <c:auto val="1"/>
        <c:lblAlgn val="ctr"/>
        <c:lblOffset val="100"/>
        <c:noMultiLvlLbl val="0"/>
      </c:catAx>
      <c:valAx>
        <c:axId val="1770498816"/>
        <c:scaling>
          <c:orientation val="minMax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Arial" panose="020B0604020202020204" pitchFamily="7" charset="0"/>
                <a:ea typeface="微软雅黑" panose="020B0503020204020204" pitchFamily="34" charset="-122"/>
                <a:cs typeface="Arial" panose="020B0604020202020204" pitchFamily="7" charset="0"/>
              </a:defRPr>
            </a:pPr>
          </a:p>
        </c:txPr>
        <c:crossAx val="164727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900">
          <a:solidFill>
            <a:schemeClr val="bg1"/>
          </a:solidFill>
          <a:latin typeface="Arial" panose="020B0604020202020204" pitchFamily="7" charset="0"/>
          <a:ea typeface="微软雅黑" panose="020B0503020204020204" pitchFamily="34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tx>
            <c:strRef>
              <c:f>数据!$L$8</c:f>
              <c:strCache>
                <c:ptCount val="1"/>
                <c:pt idx="0">
                  <c:v>人数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rgbClr val="06DD8C"/>
              </a:solid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0.150326797385621"/>
                  <c:y val="0.033057851239669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55846403918009"/>
                  <c:y val="-0.14683484952730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微软雅黑" panose="020B0503020204020204" pitchFamily="34" charset="-122"/>
                    <a:cs typeface="Arial" panose="020B0604020202020204" pitchFamily="7" charset="0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数据!$K$9:$K$10</c:f>
              <c:strCache>
                <c:ptCount val="2"/>
                <c:pt idx="0">
                  <c:v>本地</c:v>
                </c:pt>
                <c:pt idx="1">
                  <c:v>外地</c:v>
                </c:pt>
              </c:strCache>
            </c:strRef>
          </c:cat>
          <c:val>
            <c:numRef>
              <c:f>数据!$L$9:$L$10</c:f>
              <c:numCache>
                <c:formatCode>General</c:formatCode>
                <c:ptCount val="2"/>
                <c:pt idx="0">
                  <c:v>180</c:v>
                </c:pt>
                <c:pt idx="1">
                  <c:v>70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blipFill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50" b="1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微软雅黑" panose="020B0503020204020204" pitchFamily="34" charset="-122"/>
                    <a:cs typeface="Arial" panose="020B0604020202020204" pitchFamily="7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数据!$H$11:$H$15</c:f>
              <c:strCache>
                <c:ptCount val="5"/>
                <c:pt idx="0">
                  <c:v>2000-3000</c:v>
                </c:pt>
                <c:pt idx="1">
                  <c:v>3000-5000</c:v>
                </c:pt>
                <c:pt idx="2">
                  <c:v>5000-8000</c:v>
                </c:pt>
                <c:pt idx="3">
                  <c:v>8000-12000</c:v>
                </c:pt>
                <c:pt idx="4">
                  <c:v>12000-20000</c:v>
                </c:pt>
              </c:strCache>
            </c:strRef>
          </c:cat>
          <c:val>
            <c:numRef>
              <c:f>数据!$I$11:$I$15</c:f>
              <c:numCache>
                <c:formatCode>General</c:formatCode>
                <c:ptCount val="5"/>
                <c:pt idx="0">
                  <c:v>65</c:v>
                </c:pt>
                <c:pt idx="1">
                  <c:v>55</c:v>
                </c:pt>
                <c:pt idx="2">
                  <c:v>38</c:v>
                </c:pt>
                <c:pt idx="3">
                  <c:v>24</c:v>
                </c:pt>
                <c:pt idx="4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4425408"/>
        <c:axId val="1770488416"/>
      </c:barChart>
      <c:catAx>
        <c:axId val="137442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Arial" panose="020B0604020202020204" pitchFamily="7" charset="0"/>
                <a:ea typeface="微软雅黑" panose="020B0503020204020204" pitchFamily="34" charset="-122"/>
                <a:cs typeface="Arial" panose="020B0604020202020204" pitchFamily="7" charset="0"/>
              </a:defRPr>
            </a:pPr>
          </a:p>
        </c:txPr>
        <c:crossAx val="1770488416"/>
        <c:crosses val="autoZero"/>
        <c:auto val="1"/>
        <c:lblAlgn val="ctr"/>
        <c:lblOffset val="100"/>
        <c:noMultiLvlLbl val="0"/>
      </c:catAx>
      <c:valAx>
        <c:axId val="17704884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Arial" panose="020B0604020202020204" pitchFamily="7" charset="0"/>
                <a:ea typeface="微软雅黑" panose="020B0503020204020204" pitchFamily="34" charset="-122"/>
                <a:cs typeface="Arial" panose="020B0604020202020204" pitchFamily="7" charset="0"/>
              </a:defRPr>
            </a:pPr>
          </a:p>
        </c:txPr>
        <c:crossAx val="137442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900">
          <a:solidFill>
            <a:schemeClr val="bg1"/>
          </a:solidFill>
          <a:latin typeface="Arial" panose="020B0604020202020204" pitchFamily="7" charset="0"/>
          <a:ea typeface="微软雅黑" panose="020B0503020204020204" pitchFamily="34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46438201888634"/>
          <c:y val="0.0703606175556943"/>
          <c:w val="0.507123928635062"/>
          <c:h val="0.845206641377472"/>
        </c:manualLayout>
      </c:layout>
      <c:doughnutChart>
        <c:varyColors val="1"/>
        <c:ser>
          <c:idx val="0"/>
          <c:order val="0"/>
          <c:tx>
            <c:strRef>
              <c:f>数据!$K$4</c:f>
              <c:strCache>
                <c:ptCount val="1"/>
                <c:pt idx="0">
                  <c:v>已婚</c:v>
                </c:pt>
              </c:strCache>
            </c:strRef>
          </c:tx>
          <c:spPr>
            <a:ln w="19050">
              <a:noFill/>
            </a:ln>
          </c:spPr>
          <c:explosion val="0"/>
          <c:dPt>
            <c:idx val="0"/>
            <c:bubble3D val="0"/>
            <c:spPr>
              <a:solidFill>
                <a:srgbClr val="F5435E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</c:dPt>
          <c:dLbls>
            <c:delete val="1"/>
          </c:dLbls>
          <c:val>
            <c:numRef>
              <c:f>数据!$L$4:$M$4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val>
        </c:ser>
        <c:ser>
          <c:idx val="1"/>
          <c:order val="1"/>
          <c:tx>
            <c:strRef>
              <c:f>数据!$K$5</c:f>
              <c:strCache>
                <c:ptCount val="1"/>
                <c:pt idx="0">
                  <c:v>未婚</c:v>
                </c:pt>
              </c:strCache>
            </c:strRef>
          </c:tx>
          <c:spPr>
            <a:ln w="19050">
              <a:noFill/>
            </a:ln>
          </c:spPr>
          <c:explosion val="0"/>
          <c:dPt>
            <c:idx val="0"/>
            <c:bubble3D val="0"/>
            <c:spPr>
              <a:solidFill>
                <a:srgbClr val="1E86ED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</c:dPt>
          <c:dLbls>
            <c:delete val="1"/>
          </c:dLbls>
          <c:val>
            <c:numRef>
              <c:f>数据!$L$5:$M$5</c:f>
              <c:numCache>
                <c:formatCode>General</c:formatCode>
                <c:ptCount val="2"/>
                <c:pt idx="0">
                  <c:v>150</c:v>
                </c:pt>
                <c:pt idx="1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9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2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183776</xdr:colOff>
      <xdr:row>2</xdr:row>
      <xdr:rowOff>21668</xdr:rowOff>
    </xdr:from>
    <xdr:to>
      <xdr:col>10</xdr:col>
      <xdr:colOff>717177</xdr:colOff>
      <xdr:row>15</xdr:row>
      <xdr:rowOff>67235</xdr:rowOff>
    </xdr:to>
    <xdr:grpSp>
      <xdr:nvGrpSpPr>
        <xdr:cNvPr id="12" name="组合 11"/>
        <xdr:cNvGrpSpPr/>
      </xdr:nvGrpSpPr>
      <xdr:grpSpPr>
        <a:xfrm>
          <a:off x="183515" y="911225"/>
          <a:ext cx="8458200" cy="4007485"/>
          <a:chOff x="183776" y="768727"/>
          <a:chExt cx="9333754" cy="4535768"/>
        </a:xfrm>
      </xdr:grpSpPr>
      <xdr:sp>
        <xdr:nvSpPr>
          <xdr:cNvPr id="2" name="矩形 1"/>
          <xdr:cNvSpPr/>
        </xdr:nvSpPr>
        <xdr:spPr>
          <a:xfrm>
            <a:off x="183776" y="768727"/>
            <a:ext cx="3415607" cy="2257238"/>
          </a:xfrm>
          <a:prstGeom prst="rect">
            <a:avLst/>
          </a:prstGeom>
          <a:noFill/>
          <a:ln>
            <a:solidFill>
              <a:schemeClr val="tx2">
                <a:lumMod val="60000"/>
                <a:lumOff val="40000"/>
                <a:alpha val="4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3" name="矩形 2"/>
          <xdr:cNvSpPr/>
        </xdr:nvSpPr>
        <xdr:spPr>
          <a:xfrm>
            <a:off x="3754715" y="783668"/>
            <a:ext cx="3415607" cy="2257238"/>
          </a:xfrm>
          <a:prstGeom prst="rect">
            <a:avLst/>
          </a:prstGeom>
          <a:noFill/>
          <a:ln>
            <a:solidFill>
              <a:schemeClr val="tx2">
                <a:lumMod val="60000"/>
                <a:lumOff val="40000"/>
                <a:alpha val="4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4" name="矩形 3"/>
          <xdr:cNvSpPr/>
        </xdr:nvSpPr>
        <xdr:spPr>
          <a:xfrm>
            <a:off x="191246" y="3151845"/>
            <a:ext cx="3415607" cy="2137708"/>
          </a:xfrm>
          <a:prstGeom prst="rect">
            <a:avLst/>
          </a:prstGeom>
          <a:noFill/>
          <a:ln>
            <a:solidFill>
              <a:schemeClr val="tx2">
                <a:lumMod val="60000"/>
                <a:lumOff val="40000"/>
                <a:alpha val="4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5" name="矩形 4"/>
          <xdr:cNvSpPr/>
        </xdr:nvSpPr>
        <xdr:spPr>
          <a:xfrm>
            <a:off x="3754715" y="3166787"/>
            <a:ext cx="3415607" cy="2137708"/>
          </a:xfrm>
          <a:prstGeom prst="rect">
            <a:avLst/>
          </a:prstGeom>
          <a:noFill/>
          <a:ln>
            <a:solidFill>
              <a:schemeClr val="tx2">
                <a:lumMod val="60000"/>
                <a:lumOff val="40000"/>
                <a:alpha val="4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6" name="矩形 5"/>
          <xdr:cNvSpPr/>
        </xdr:nvSpPr>
        <xdr:spPr>
          <a:xfrm>
            <a:off x="7355540" y="769473"/>
            <a:ext cx="2161990" cy="4535022"/>
          </a:xfrm>
          <a:prstGeom prst="rect">
            <a:avLst/>
          </a:prstGeom>
          <a:noFill/>
          <a:ln>
            <a:solidFill>
              <a:schemeClr val="tx2">
                <a:lumMod val="60000"/>
                <a:lumOff val="40000"/>
                <a:alpha val="4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0</xdr:col>
      <xdr:colOff>198715</xdr:colOff>
      <xdr:row>15</xdr:row>
      <xdr:rowOff>208432</xdr:rowOff>
    </xdr:from>
    <xdr:to>
      <xdr:col>10</xdr:col>
      <xdr:colOff>739587</xdr:colOff>
      <xdr:row>22</xdr:row>
      <xdr:rowOff>217023</xdr:rowOff>
    </xdr:to>
    <xdr:grpSp>
      <xdr:nvGrpSpPr>
        <xdr:cNvPr id="9" name="组合 8"/>
        <xdr:cNvGrpSpPr/>
      </xdr:nvGrpSpPr>
      <xdr:grpSpPr>
        <a:xfrm>
          <a:off x="198120" y="5060315"/>
          <a:ext cx="8465820" cy="2141855"/>
          <a:chOff x="198716" y="5004548"/>
          <a:chExt cx="7008960" cy="2152650"/>
        </a:xfrm>
      </xdr:grpSpPr>
      <xdr:sp>
        <xdr:nvSpPr>
          <xdr:cNvPr id="7" name="矩形 6"/>
          <xdr:cNvSpPr/>
        </xdr:nvSpPr>
        <xdr:spPr>
          <a:xfrm>
            <a:off x="198716" y="5004548"/>
            <a:ext cx="3466365" cy="2137708"/>
          </a:xfrm>
          <a:prstGeom prst="rect">
            <a:avLst/>
          </a:prstGeom>
          <a:noFill/>
          <a:ln>
            <a:solidFill>
              <a:schemeClr val="tx2">
                <a:lumMod val="60000"/>
                <a:lumOff val="40000"/>
                <a:alpha val="4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8" name="矩形 7"/>
          <xdr:cNvSpPr/>
        </xdr:nvSpPr>
        <xdr:spPr>
          <a:xfrm>
            <a:off x="3760372" y="5019490"/>
            <a:ext cx="3447304" cy="2137708"/>
          </a:xfrm>
          <a:prstGeom prst="rect">
            <a:avLst/>
          </a:prstGeom>
          <a:noFill/>
          <a:ln>
            <a:solidFill>
              <a:schemeClr val="tx2">
                <a:lumMod val="60000"/>
                <a:lumOff val="40000"/>
                <a:alpha val="4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0</xdr:col>
      <xdr:colOff>379361</xdr:colOff>
      <xdr:row>16</xdr:row>
      <xdr:rowOff>50800</xdr:rowOff>
    </xdr:from>
    <xdr:to>
      <xdr:col>5</xdr:col>
      <xdr:colOff>614973</xdr:colOff>
      <xdr:row>22</xdr:row>
      <xdr:rowOff>133839</xdr:rowOff>
    </xdr:to>
    <xdr:graphicFrame>
      <xdr:nvGraphicFramePr>
        <xdr:cNvPr id="14" name="图表 13"/>
        <xdr:cNvGraphicFramePr/>
      </xdr:nvGraphicFramePr>
      <xdr:xfrm>
        <a:off x="379095" y="5207635"/>
        <a:ext cx="3855085" cy="1911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806450</xdr:colOff>
      <xdr:row>2</xdr:row>
      <xdr:rowOff>57150</xdr:rowOff>
    </xdr:from>
    <xdr:to>
      <xdr:col>8</xdr:col>
      <xdr:colOff>234950</xdr:colOff>
      <xdr:row>9</xdr:row>
      <xdr:rowOff>88900</xdr:rowOff>
    </xdr:to>
    <xdr:graphicFrame>
      <xdr:nvGraphicFramePr>
        <xdr:cNvPr id="16" name="图表 15"/>
        <xdr:cNvGraphicFramePr/>
      </xdr:nvGraphicFramePr>
      <xdr:xfrm>
        <a:off x="3564890" y="946785"/>
        <a:ext cx="2872740" cy="2165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927100</xdr:colOff>
      <xdr:row>9</xdr:row>
      <xdr:rowOff>158750</xdr:rowOff>
    </xdr:from>
    <xdr:to>
      <xdr:col>8</xdr:col>
      <xdr:colOff>50800</xdr:colOff>
      <xdr:row>15</xdr:row>
      <xdr:rowOff>19050</xdr:rowOff>
    </xdr:to>
    <xdr:graphicFrame>
      <xdr:nvGraphicFramePr>
        <xdr:cNvPr id="19" name="图表 18"/>
        <xdr:cNvGraphicFramePr/>
      </xdr:nvGraphicFramePr>
      <xdr:xfrm>
        <a:off x="3619500" y="3181985"/>
        <a:ext cx="2633980" cy="1689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642938</xdr:colOff>
      <xdr:row>11</xdr:row>
      <xdr:rowOff>109537</xdr:rowOff>
    </xdr:from>
    <xdr:to>
      <xdr:col>3</xdr:col>
      <xdr:colOff>266453</xdr:colOff>
      <xdr:row>12</xdr:row>
      <xdr:rowOff>263624</xdr:rowOff>
    </xdr:to>
    <xdr:sp>
      <xdr:nvSpPr>
        <xdr:cNvPr id="22" name="wedding-ring_92282"/>
        <xdr:cNvSpPr>
          <a:spLocks noChangeAspect="1"/>
        </xdr:cNvSpPr>
      </xdr:nvSpPr>
      <xdr:spPr>
        <a:xfrm>
          <a:off x="1678940" y="3742055"/>
          <a:ext cx="484505" cy="459105"/>
        </a:xfrm>
        <a:custGeom>
          <a:avLst/>
          <a:gdLst>
            <a:gd name="connsiteX0" fmla="*/ 302232 w 604463"/>
            <a:gd name="connsiteY0" fmla="*/ 281038 h 561983"/>
            <a:gd name="connsiteX1" fmla="*/ 270398 w 604463"/>
            <a:gd name="connsiteY1" fmla="*/ 370513 h 561983"/>
            <a:gd name="connsiteX2" fmla="*/ 302232 w 604463"/>
            <a:gd name="connsiteY2" fmla="*/ 460111 h 561983"/>
            <a:gd name="connsiteX3" fmla="*/ 334065 w 604463"/>
            <a:gd name="connsiteY3" fmla="*/ 370513 h 561983"/>
            <a:gd name="connsiteX4" fmla="*/ 302232 w 604463"/>
            <a:gd name="connsiteY4" fmla="*/ 281038 h 561983"/>
            <a:gd name="connsiteX5" fmla="*/ 412849 w 604463"/>
            <a:gd name="connsiteY5" fmla="*/ 228261 h 561983"/>
            <a:gd name="connsiteX6" fmla="*/ 339350 w 604463"/>
            <a:gd name="connsiteY6" fmla="*/ 248758 h 561983"/>
            <a:gd name="connsiteX7" fmla="*/ 383228 w 604463"/>
            <a:gd name="connsiteY7" fmla="*/ 370513 h 561983"/>
            <a:gd name="connsiteX8" fmla="*/ 339350 w 604463"/>
            <a:gd name="connsiteY8" fmla="*/ 492391 h 561983"/>
            <a:gd name="connsiteX9" fmla="*/ 412849 w 604463"/>
            <a:gd name="connsiteY9" fmla="*/ 512888 h 561983"/>
            <a:gd name="connsiteX10" fmla="*/ 555300 w 604463"/>
            <a:gd name="connsiteY10" fmla="*/ 370513 h 561983"/>
            <a:gd name="connsiteX11" fmla="*/ 412849 w 604463"/>
            <a:gd name="connsiteY11" fmla="*/ 228261 h 561983"/>
            <a:gd name="connsiteX12" fmla="*/ 191614 w 604463"/>
            <a:gd name="connsiteY12" fmla="*/ 228261 h 561983"/>
            <a:gd name="connsiteX13" fmla="*/ 49163 w 604463"/>
            <a:gd name="connsiteY13" fmla="*/ 370513 h 561983"/>
            <a:gd name="connsiteX14" fmla="*/ 191614 w 604463"/>
            <a:gd name="connsiteY14" fmla="*/ 512888 h 561983"/>
            <a:gd name="connsiteX15" fmla="*/ 265236 w 604463"/>
            <a:gd name="connsiteY15" fmla="*/ 492391 h 561983"/>
            <a:gd name="connsiteX16" fmla="*/ 221235 w 604463"/>
            <a:gd name="connsiteY16" fmla="*/ 370513 h 561983"/>
            <a:gd name="connsiteX17" fmla="*/ 265236 w 604463"/>
            <a:gd name="connsiteY17" fmla="*/ 248758 h 561983"/>
            <a:gd name="connsiteX18" fmla="*/ 191614 w 604463"/>
            <a:gd name="connsiteY18" fmla="*/ 228261 h 561983"/>
            <a:gd name="connsiteX19" fmla="*/ 191614 w 604463"/>
            <a:gd name="connsiteY19" fmla="*/ 179166 h 561983"/>
            <a:gd name="connsiteX20" fmla="*/ 302232 w 604463"/>
            <a:gd name="connsiteY20" fmla="*/ 214392 h 561983"/>
            <a:gd name="connsiteX21" fmla="*/ 412849 w 604463"/>
            <a:gd name="connsiteY21" fmla="*/ 179166 h 561983"/>
            <a:gd name="connsiteX22" fmla="*/ 604463 w 604463"/>
            <a:gd name="connsiteY22" fmla="*/ 370513 h 561983"/>
            <a:gd name="connsiteX23" fmla="*/ 412849 w 604463"/>
            <a:gd name="connsiteY23" fmla="*/ 561983 h 561983"/>
            <a:gd name="connsiteX24" fmla="*/ 302232 w 604463"/>
            <a:gd name="connsiteY24" fmla="*/ 526757 h 561983"/>
            <a:gd name="connsiteX25" fmla="*/ 191614 w 604463"/>
            <a:gd name="connsiteY25" fmla="*/ 561983 h 561983"/>
            <a:gd name="connsiteX26" fmla="*/ 0 w 604463"/>
            <a:gd name="connsiteY26" fmla="*/ 370513 h 561983"/>
            <a:gd name="connsiteX27" fmla="*/ 191614 w 604463"/>
            <a:gd name="connsiteY27" fmla="*/ 179166 h 561983"/>
            <a:gd name="connsiteX28" fmla="*/ 259574 w 604463"/>
            <a:gd name="connsiteY28" fmla="*/ 0 h 561983"/>
            <a:gd name="connsiteX29" fmla="*/ 302477 w 604463"/>
            <a:gd name="connsiteY29" fmla="*/ 23558 h 561983"/>
            <a:gd name="connsiteX30" fmla="*/ 344888 w 604463"/>
            <a:gd name="connsiteY30" fmla="*/ 0 h 561983"/>
            <a:gd name="connsiteX31" fmla="*/ 398610 w 604463"/>
            <a:gd name="connsiteY31" fmla="*/ 51900 h 561983"/>
            <a:gd name="connsiteX32" fmla="*/ 387300 w 604463"/>
            <a:gd name="connsiteY32" fmla="*/ 90427 h 561983"/>
            <a:gd name="connsiteX33" fmla="*/ 346364 w 604463"/>
            <a:gd name="connsiteY33" fmla="*/ 131408 h 561983"/>
            <a:gd name="connsiteX34" fmla="*/ 302354 w 604463"/>
            <a:gd name="connsiteY34" fmla="*/ 158278 h 561983"/>
            <a:gd name="connsiteX35" fmla="*/ 217162 w 604463"/>
            <a:gd name="connsiteY35" fmla="*/ 90427 h 561983"/>
            <a:gd name="connsiteX36" fmla="*/ 205975 w 604463"/>
            <a:gd name="connsiteY36" fmla="*/ 51900 h 561983"/>
            <a:gd name="connsiteX37" fmla="*/ 259574 w 604463"/>
            <a:gd name="connsiteY37" fmla="*/ 0 h 5619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</a:cxnLst>
          <a:rect l="l" t="t" r="r" b="b"/>
          <a:pathLst>
            <a:path w="604463" h="561983">
              <a:moveTo>
                <a:pt x="302232" y="281038"/>
              </a:moveTo>
              <a:cubicBezTo>
                <a:pt x="282320" y="305462"/>
                <a:pt x="270398" y="336638"/>
                <a:pt x="270398" y="370513"/>
              </a:cubicBezTo>
              <a:cubicBezTo>
                <a:pt x="270398" y="404511"/>
                <a:pt x="282320" y="435687"/>
                <a:pt x="302232" y="460111"/>
              </a:cubicBezTo>
              <a:cubicBezTo>
                <a:pt x="322143" y="435687"/>
                <a:pt x="334065" y="404511"/>
                <a:pt x="334065" y="370513"/>
              </a:cubicBezTo>
              <a:cubicBezTo>
                <a:pt x="334065" y="336638"/>
                <a:pt x="322143" y="305462"/>
                <a:pt x="302232" y="281038"/>
              </a:cubicBezTo>
              <a:close/>
              <a:moveTo>
                <a:pt x="412849" y="228261"/>
              </a:moveTo>
              <a:cubicBezTo>
                <a:pt x="385932" y="228261"/>
                <a:pt x="360859" y="235748"/>
                <a:pt x="339350" y="248758"/>
              </a:cubicBezTo>
              <a:cubicBezTo>
                <a:pt x="366758" y="281897"/>
                <a:pt x="383228" y="324364"/>
                <a:pt x="383228" y="370513"/>
              </a:cubicBezTo>
              <a:cubicBezTo>
                <a:pt x="383228" y="416785"/>
                <a:pt x="366758" y="459252"/>
                <a:pt x="339350" y="492391"/>
              </a:cubicBezTo>
              <a:cubicBezTo>
                <a:pt x="360859" y="505401"/>
                <a:pt x="385932" y="512888"/>
                <a:pt x="412849" y="512888"/>
              </a:cubicBezTo>
              <a:cubicBezTo>
                <a:pt x="491387" y="512888"/>
                <a:pt x="555300" y="449065"/>
                <a:pt x="555300" y="370513"/>
              </a:cubicBezTo>
              <a:cubicBezTo>
                <a:pt x="555300" y="292084"/>
                <a:pt x="491387" y="228261"/>
                <a:pt x="412849" y="228261"/>
              </a:cubicBezTo>
              <a:close/>
              <a:moveTo>
                <a:pt x="191614" y="228261"/>
              </a:moveTo>
              <a:cubicBezTo>
                <a:pt x="113076" y="228261"/>
                <a:pt x="49163" y="292084"/>
                <a:pt x="49163" y="370513"/>
              </a:cubicBezTo>
              <a:cubicBezTo>
                <a:pt x="49163" y="449065"/>
                <a:pt x="113076" y="512888"/>
                <a:pt x="191614" y="512888"/>
              </a:cubicBezTo>
              <a:cubicBezTo>
                <a:pt x="218531" y="512888"/>
                <a:pt x="243727" y="505401"/>
                <a:pt x="265236" y="492391"/>
              </a:cubicBezTo>
              <a:cubicBezTo>
                <a:pt x="237705" y="459252"/>
                <a:pt x="221235" y="416785"/>
                <a:pt x="221235" y="370513"/>
              </a:cubicBezTo>
              <a:cubicBezTo>
                <a:pt x="221235" y="324364"/>
                <a:pt x="237705" y="281897"/>
                <a:pt x="265236" y="248758"/>
              </a:cubicBezTo>
              <a:cubicBezTo>
                <a:pt x="243727" y="235748"/>
                <a:pt x="218531" y="228261"/>
                <a:pt x="191614" y="228261"/>
              </a:cubicBezTo>
              <a:close/>
              <a:moveTo>
                <a:pt x="191614" y="179166"/>
              </a:moveTo>
              <a:cubicBezTo>
                <a:pt x="232788" y="179166"/>
                <a:pt x="271013" y="192176"/>
                <a:pt x="302232" y="214392"/>
              </a:cubicBezTo>
              <a:cubicBezTo>
                <a:pt x="333573" y="192176"/>
                <a:pt x="371675" y="179166"/>
                <a:pt x="412849" y="179166"/>
              </a:cubicBezTo>
              <a:cubicBezTo>
                <a:pt x="518550" y="179166"/>
                <a:pt x="604463" y="265082"/>
                <a:pt x="604463" y="370513"/>
              </a:cubicBezTo>
              <a:cubicBezTo>
                <a:pt x="604463" y="476067"/>
                <a:pt x="518550" y="561983"/>
                <a:pt x="412849" y="561983"/>
              </a:cubicBezTo>
              <a:cubicBezTo>
                <a:pt x="371675" y="561983"/>
                <a:pt x="333573" y="548850"/>
                <a:pt x="302232" y="526757"/>
              </a:cubicBezTo>
              <a:cubicBezTo>
                <a:pt x="271013" y="548850"/>
                <a:pt x="232788" y="561983"/>
                <a:pt x="191614" y="561983"/>
              </a:cubicBezTo>
              <a:cubicBezTo>
                <a:pt x="85913" y="561983"/>
                <a:pt x="0" y="476067"/>
                <a:pt x="0" y="370513"/>
              </a:cubicBezTo>
              <a:cubicBezTo>
                <a:pt x="0" y="265082"/>
                <a:pt x="85913" y="179166"/>
                <a:pt x="191614" y="179166"/>
              </a:cubicBezTo>
              <a:close/>
              <a:moveTo>
                <a:pt x="259574" y="0"/>
              </a:moveTo>
              <a:cubicBezTo>
                <a:pt x="280595" y="0"/>
                <a:pt x="294978" y="15092"/>
                <a:pt x="302477" y="23558"/>
              </a:cubicBezTo>
              <a:cubicBezTo>
                <a:pt x="310345" y="14969"/>
                <a:pt x="324605" y="0"/>
                <a:pt x="344888" y="0"/>
              </a:cubicBezTo>
              <a:cubicBezTo>
                <a:pt x="373408" y="0"/>
                <a:pt x="397011" y="22821"/>
                <a:pt x="398610" y="51900"/>
              </a:cubicBezTo>
              <a:cubicBezTo>
                <a:pt x="399470" y="69446"/>
                <a:pt x="393078" y="81716"/>
                <a:pt x="387300" y="90427"/>
              </a:cubicBezTo>
              <a:cubicBezTo>
                <a:pt x="379801" y="101838"/>
                <a:pt x="361238" y="119138"/>
                <a:pt x="346364" y="131408"/>
              </a:cubicBezTo>
              <a:cubicBezTo>
                <a:pt x="324850" y="149321"/>
                <a:pt x="309976" y="158278"/>
                <a:pt x="302354" y="158278"/>
              </a:cubicBezTo>
              <a:cubicBezTo>
                <a:pt x="285389" y="158278"/>
                <a:pt x="228841" y="108095"/>
                <a:pt x="217162" y="90427"/>
              </a:cubicBezTo>
              <a:cubicBezTo>
                <a:pt x="211876" y="82452"/>
                <a:pt x="204992" y="69691"/>
                <a:pt x="205975" y="51900"/>
              </a:cubicBezTo>
              <a:cubicBezTo>
                <a:pt x="207451" y="22821"/>
                <a:pt x="231054" y="0"/>
                <a:pt x="259574" y="0"/>
              </a:cubicBezTo>
              <a:close/>
            </a:path>
          </a:pathLst>
        </a:custGeom>
        <a:solidFill>
          <a:schemeClr val="bg1"/>
        </a:solidFill>
        <a:ln>
          <a:noFill/>
        </a:ln>
      </xdr:spPr>
      <xdr:txBody>
        <a:bodyPr wrap="square"/>
        <a:lstStyle/>
        <a:p>
          <a:endParaRPr lang="zh-CN" altLang="en-US"/>
        </a:p>
      </xdr:txBody>
    </xdr:sp>
    <xdr:clientData/>
  </xdr:twoCellAnchor>
  <xdr:twoCellAnchor>
    <xdr:from>
      <xdr:col>0</xdr:col>
      <xdr:colOff>704850</xdr:colOff>
      <xdr:row>2</xdr:row>
      <xdr:rowOff>152400</xdr:rowOff>
    </xdr:from>
    <xdr:to>
      <xdr:col>4</xdr:col>
      <xdr:colOff>0</xdr:colOff>
      <xdr:row>8</xdr:row>
      <xdr:rowOff>285750</xdr:rowOff>
    </xdr:to>
    <xdr:graphicFrame>
      <xdr:nvGraphicFramePr>
        <xdr:cNvPr id="23" name="图表 22"/>
        <xdr:cNvGraphicFramePr/>
      </xdr:nvGraphicFramePr>
      <xdr:xfrm>
        <a:off x="704850" y="1042035"/>
        <a:ext cx="2053590" cy="1962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119380</xdr:colOff>
      <xdr:row>15</xdr:row>
      <xdr:rowOff>289560</xdr:rowOff>
    </xdr:from>
    <xdr:to>
      <xdr:col>10</xdr:col>
      <xdr:colOff>556260</xdr:colOff>
      <xdr:row>22</xdr:row>
      <xdr:rowOff>148590</xdr:rowOff>
    </xdr:to>
    <xdr:graphicFrame>
      <xdr:nvGraphicFramePr>
        <xdr:cNvPr id="24" name="Chart 13"/>
        <xdr:cNvGraphicFramePr/>
      </xdr:nvGraphicFramePr>
      <xdr:xfrm>
        <a:off x="4599940" y="5141595"/>
        <a:ext cx="3881120" cy="1992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793750</xdr:colOff>
      <xdr:row>8</xdr:row>
      <xdr:rowOff>127000</xdr:rowOff>
    </xdr:from>
    <xdr:to>
      <xdr:col>9</xdr:col>
      <xdr:colOff>349919</xdr:colOff>
      <xdr:row>10</xdr:row>
      <xdr:rowOff>127085</xdr:rowOff>
    </xdr:to>
    <xdr:sp>
      <xdr:nvSpPr>
        <xdr:cNvPr id="29" name="male-man-user-shape_45445"/>
        <xdr:cNvSpPr>
          <a:spLocks noChangeAspect="1"/>
        </xdr:cNvSpPr>
      </xdr:nvSpPr>
      <xdr:spPr>
        <a:xfrm>
          <a:off x="6996430" y="2845435"/>
          <a:ext cx="417195" cy="609600"/>
        </a:xfrm>
        <a:custGeom>
          <a:avLst/>
          <a:gdLst>
            <a:gd name="connsiteX0" fmla="*/ 85433 w 512516"/>
            <a:gd name="connsiteY0" fmla="*/ 327494 h 606721"/>
            <a:gd name="connsiteX1" fmla="*/ 161126 w 512516"/>
            <a:gd name="connsiteY1" fmla="*/ 327494 h 606721"/>
            <a:gd name="connsiteX2" fmla="*/ 176170 w 512516"/>
            <a:gd name="connsiteY2" fmla="*/ 335558 h 606721"/>
            <a:gd name="connsiteX3" fmla="*/ 250914 w 512516"/>
            <a:gd name="connsiteY3" fmla="*/ 440940 h 606721"/>
            <a:gd name="connsiteX4" fmla="*/ 261603 w 512516"/>
            <a:gd name="connsiteY4" fmla="*/ 440940 h 606721"/>
            <a:gd name="connsiteX5" fmla="*/ 336346 w 512516"/>
            <a:gd name="connsiteY5" fmla="*/ 335558 h 606721"/>
            <a:gd name="connsiteX6" fmla="*/ 351390 w 512516"/>
            <a:gd name="connsiteY6" fmla="*/ 327494 h 606721"/>
            <a:gd name="connsiteX7" fmla="*/ 427084 w 512516"/>
            <a:gd name="connsiteY7" fmla="*/ 327494 h 606721"/>
            <a:gd name="connsiteX8" fmla="*/ 512516 w 512516"/>
            <a:gd name="connsiteY8" fmla="*/ 412796 h 606721"/>
            <a:gd name="connsiteX9" fmla="*/ 512516 w 512516"/>
            <a:gd name="connsiteY9" fmla="*/ 478808 h 606721"/>
            <a:gd name="connsiteX10" fmla="*/ 512516 w 512516"/>
            <a:gd name="connsiteY10" fmla="*/ 564031 h 606721"/>
            <a:gd name="connsiteX11" fmla="*/ 469839 w 512516"/>
            <a:gd name="connsiteY11" fmla="*/ 606721 h 606721"/>
            <a:gd name="connsiteX12" fmla="*/ 42677 w 512516"/>
            <a:gd name="connsiteY12" fmla="*/ 606721 h 606721"/>
            <a:gd name="connsiteX13" fmla="*/ 0 w 512516"/>
            <a:gd name="connsiteY13" fmla="*/ 564031 h 606721"/>
            <a:gd name="connsiteX14" fmla="*/ 0 w 512516"/>
            <a:gd name="connsiteY14" fmla="*/ 478808 h 606721"/>
            <a:gd name="connsiteX15" fmla="*/ 0 w 512516"/>
            <a:gd name="connsiteY15" fmla="*/ 412796 h 606721"/>
            <a:gd name="connsiteX16" fmla="*/ 85433 w 512516"/>
            <a:gd name="connsiteY16" fmla="*/ 327494 h 606721"/>
            <a:gd name="connsiteX17" fmla="*/ 170474 w 512516"/>
            <a:gd name="connsiteY17" fmla="*/ 77794 h 606721"/>
            <a:gd name="connsiteX18" fmla="*/ 144268 w 512516"/>
            <a:gd name="connsiteY18" fmla="*/ 152346 h 606721"/>
            <a:gd name="connsiteX19" fmla="*/ 256218 w 512516"/>
            <a:gd name="connsiteY19" fmla="*/ 264135 h 606721"/>
            <a:gd name="connsiteX20" fmla="*/ 368249 w 512516"/>
            <a:gd name="connsiteY20" fmla="*/ 152346 h 606721"/>
            <a:gd name="connsiteX21" fmla="*/ 170474 w 512516"/>
            <a:gd name="connsiteY21" fmla="*/ 77794 h 606721"/>
            <a:gd name="connsiteX22" fmla="*/ 256218 w 512516"/>
            <a:gd name="connsiteY22" fmla="*/ 0 h 606721"/>
            <a:gd name="connsiteX23" fmla="*/ 405539 w 512516"/>
            <a:gd name="connsiteY23" fmla="*/ 149105 h 606721"/>
            <a:gd name="connsiteX24" fmla="*/ 256218 w 512516"/>
            <a:gd name="connsiteY24" fmla="*/ 298209 h 606721"/>
            <a:gd name="connsiteX25" fmla="*/ 106977 w 512516"/>
            <a:gd name="connsiteY25" fmla="*/ 149105 h 606721"/>
            <a:gd name="connsiteX26" fmla="*/ 256218 w 512516"/>
            <a:gd name="connsiteY26" fmla="*/ 0 h 60672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</a:cxnLst>
          <a:rect l="l" t="t" r="r" b="b"/>
          <a:pathLst>
            <a:path w="512516" h="606721">
              <a:moveTo>
                <a:pt x="85433" y="327494"/>
              </a:moveTo>
              <a:lnTo>
                <a:pt x="161126" y="327494"/>
              </a:lnTo>
              <a:cubicBezTo>
                <a:pt x="166510" y="327494"/>
                <a:pt x="173240" y="331131"/>
                <a:pt x="176170" y="335558"/>
              </a:cubicBezTo>
              <a:lnTo>
                <a:pt x="250914" y="440940"/>
              </a:lnTo>
              <a:cubicBezTo>
                <a:pt x="253843" y="445446"/>
                <a:pt x="258673" y="445446"/>
                <a:pt x="261603" y="440940"/>
              </a:cubicBezTo>
              <a:lnTo>
                <a:pt x="336346" y="335558"/>
              </a:lnTo>
              <a:cubicBezTo>
                <a:pt x="339276" y="331131"/>
                <a:pt x="346006" y="327494"/>
                <a:pt x="351390" y="327494"/>
              </a:cubicBezTo>
              <a:lnTo>
                <a:pt x="427084" y="327494"/>
              </a:lnTo>
              <a:cubicBezTo>
                <a:pt x="474353" y="327494"/>
                <a:pt x="512516" y="365757"/>
                <a:pt x="512516" y="412796"/>
              </a:cubicBezTo>
              <a:lnTo>
                <a:pt x="512516" y="478808"/>
              </a:lnTo>
              <a:lnTo>
                <a:pt x="512516" y="564031"/>
              </a:lnTo>
              <a:cubicBezTo>
                <a:pt x="512516" y="587668"/>
                <a:pt x="493434" y="606721"/>
                <a:pt x="469839" y="606721"/>
              </a:cubicBezTo>
              <a:lnTo>
                <a:pt x="42677" y="606721"/>
              </a:lnTo>
              <a:cubicBezTo>
                <a:pt x="19082" y="606721"/>
                <a:pt x="0" y="587668"/>
                <a:pt x="0" y="564031"/>
              </a:cubicBezTo>
              <a:lnTo>
                <a:pt x="0" y="478808"/>
              </a:lnTo>
              <a:lnTo>
                <a:pt x="0" y="412796"/>
              </a:lnTo>
              <a:cubicBezTo>
                <a:pt x="0" y="365757"/>
                <a:pt x="38243" y="327494"/>
                <a:pt x="85433" y="327494"/>
              </a:cubicBezTo>
              <a:close/>
              <a:moveTo>
                <a:pt x="170474" y="77794"/>
              </a:moveTo>
              <a:cubicBezTo>
                <a:pt x="139992" y="110050"/>
                <a:pt x="144268" y="152346"/>
                <a:pt x="144268" y="152346"/>
              </a:cubicBezTo>
              <a:cubicBezTo>
                <a:pt x="144268" y="214012"/>
                <a:pt x="194543" y="264135"/>
                <a:pt x="256218" y="264135"/>
              </a:cubicBezTo>
              <a:cubicBezTo>
                <a:pt x="317974" y="264135"/>
                <a:pt x="368249" y="214012"/>
                <a:pt x="368249" y="152346"/>
              </a:cubicBezTo>
              <a:cubicBezTo>
                <a:pt x="256218" y="152346"/>
                <a:pt x="191930" y="99298"/>
                <a:pt x="170474" y="77794"/>
              </a:cubicBezTo>
              <a:close/>
              <a:moveTo>
                <a:pt x="256218" y="0"/>
              </a:moveTo>
              <a:cubicBezTo>
                <a:pt x="338796" y="0"/>
                <a:pt x="405539" y="66725"/>
                <a:pt x="405539" y="149105"/>
              </a:cubicBezTo>
              <a:cubicBezTo>
                <a:pt x="405539" y="231404"/>
                <a:pt x="338796" y="298209"/>
                <a:pt x="256218" y="298209"/>
              </a:cubicBezTo>
              <a:cubicBezTo>
                <a:pt x="173799" y="298209"/>
                <a:pt x="106977" y="231404"/>
                <a:pt x="106977" y="149105"/>
              </a:cubicBezTo>
              <a:cubicBezTo>
                <a:pt x="106977" y="66725"/>
                <a:pt x="173799" y="0"/>
                <a:pt x="256218" y="0"/>
              </a:cubicBezTo>
              <a:close/>
            </a:path>
          </a:pathLst>
        </a:custGeom>
        <a:gradFill>
          <a:gsLst>
            <a:gs pos="52000">
              <a:srgbClr val="F5435E">
                <a:alpha val="83000"/>
              </a:srgbClr>
            </a:gs>
            <a:gs pos="0">
              <a:srgbClr val="F5435E">
                <a:alpha val="0"/>
              </a:srgbClr>
            </a:gs>
            <a:gs pos="100000">
              <a:srgbClr val="F5435E"/>
            </a:gs>
          </a:gsLst>
          <a:lin ang="16200000" scaled="1"/>
        </a:gradFill>
        <a:ln>
          <a:noFill/>
        </a:ln>
      </xdr:spPr>
      <xdr:txBody>
        <a:bodyPr wrap="square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zh-CN" altLang="en-US" sz="11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等线" panose="02010600030101010101" charset="-122"/>
          </a:endParaRPr>
        </a:p>
      </xdr:txBody>
    </xdr:sp>
    <xdr:clientData/>
  </xdr:twoCellAnchor>
  <xdr:twoCellAnchor>
    <xdr:from>
      <xdr:col>8</xdr:col>
      <xdr:colOff>790726</xdr:colOff>
      <xdr:row>11</xdr:row>
      <xdr:rowOff>82550</xdr:rowOff>
    </xdr:from>
    <xdr:to>
      <xdr:col>9</xdr:col>
      <xdr:colOff>360563</xdr:colOff>
      <xdr:row>13</xdr:row>
      <xdr:rowOff>82635</xdr:rowOff>
    </xdr:to>
    <xdr:sp>
      <xdr:nvSpPr>
        <xdr:cNvPr id="30" name="woman-with-straight-short-hair_57159"/>
        <xdr:cNvSpPr>
          <a:spLocks noChangeAspect="1"/>
        </xdr:cNvSpPr>
      </xdr:nvSpPr>
      <xdr:spPr>
        <a:xfrm>
          <a:off x="6993255" y="3715385"/>
          <a:ext cx="430530" cy="609600"/>
        </a:xfrm>
        <a:custGeom>
          <a:avLst/>
          <a:gdLst>
            <a:gd name="connsiteX0" fmla="*/ 358198 w 524160"/>
            <a:gd name="connsiteY0" fmla="*/ 384441 h 604464"/>
            <a:gd name="connsiteX1" fmla="*/ 363284 w 524160"/>
            <a:gd name="connsiteY1" fmla="*/ 385100 h 604464"/>
            <a:gd name="connsiteX2" fmla="*/ 364132 w 524160"/>
            <a:gd name="connsiteY2" fmla="*/ 385288 h 604464"/>
            <a:gd name="connsiteX3" fmla="*/ 426109 w 524160"/>
            <a:gd name="connsiteY3" fmla="*/ 405136 h 604464"/>
            <a:gd name="connsiteX4" fmla="*/ 524160 w 524160"/>
            <a:gd name="connsiteY4" fmla="*/ 479543 h 604464"/>
            <a:gd name="connsiteX5" fmla="*/ 524160 w 524160"/>
            <a:gd name="connsiteY5" fmla="*/ 604464 h 604464"/>
            <a:gd name="connsiteX6" fmla="*/ 285578 w 524160"/>
            <a:gd name="connsiteY6" fmla="*/ 604464 h 604464"/>
            <a:gd name="connsiteX7" fmla="*/ 336629 w 524160"/>
            <a:gd name="connsiteY7" fmla="*/ 406735 h 604464"/>
            <a:gd name="connsiteX8" fmla="*/ 337476 w 524160"/>
            <a:gd name="connsiteY8" fmla="*/ 403631 h 604464"/>
            <a:gd name="connsiteX9" fmla="*/ 358198 w 524160"/>
            <a:gd name="connsiteY9" fmla="*/ 384441 h 604464"/>
            <a:gd name="connsiteX10" fmla="*/ 166011 w 524160"/>
            <a:gd name="connsiteY10" fmla="*/ 384441 h 604464"/>
            <a:gd name="connsiteX11" fmla="*/ 186738 w 524160"/>
            <a:gd name="connsiteY11" fmla="*/ 403631 h 604464"/>
            <a:gd name="connsiteX12" fmla="*/ 187586 w 524160"/>
            <a:gd name="connsiteY12" fmla="*/ 406735 h 604464"/>
            <a:gd name="connsiteX13" fmla="*/ 238652 w 524160"/>
            <a:gd name="connsiteY13" fmla="*/ 604464 h 604464"/>
            <a:gd name="connsiteX14" fmla="*/ 0 w 524160"/>
            <a:gd name="connsiteY14" fmla="*/ 604464 h 604464"/>
            <a:gd name="connsiteX15" fmla="*/ 0 w 524160"/>
            <a:gd name="connsiteY15" fmla="*/ 479543 h 604464"/>
            <a:gd name="connsiteX16" fmla="*/ 98080 w 524160"/>
            <a:gd name="connsiteY16" fmla="*/ 405136 h 604464"/>
            <a:gd name="connsiteX17" fmla="*/ 159981 w 524160"/>
            <a:gd name="connsiteY17" fmla="*/ 385288 h 604464"/>
            <a:gd name="connsiteX18" fmla="*/ 160923 w 524160"/>
            <a:gd name="connsiteY18" fmla="*/ 385100 h 604464"/>
            <a:gd name="connsiteX19" fmla="*/ 166011 w 524160"/>
            <a:gd name="connsiteY19" fmla="*/ 384441 h 604464"/>
            <a:gd name="connsiteX20" fmla="*/ 258218 w 524160"/>
            <a:gd name="connsiteY20" fmla="*/ 0 h 604464"/>
            <a:gd name="connsiteX21" fmla="*/ 265848 w 524160"/>
            <a:gd name="connsiteY21" fmla="*/ 0 h 604464"/>
            <a:gd name="connsiteX22" fmla="*/ 404504 w 524160"/>
            <a:gd name="connsiteY22" fmla="*/ 138469 h 604464"/>
            <a:gd name="connsiteX23" fmla="*/ 448305 w 524160"/>
            <a:gd name="connsiteY23" fmla="*/ 330275 h 604464"/>
            <a:gd name="connsiteX24" fmla="*/ 344219 w 524160"/>
            <a:gd name="connsiteY24" fmla="*/ 335543 h 604464"/>
            <a:gd name="connsiteX25" fmla="*/ 262268 w 524160"/>
            <a:gd name="connsiteY25" fmla="*/ 358684 h 604464"/>
            <a:gd name="connsiteX26" fmla="*/ 180224 w 524160"/>
            <a:gd name="connsiteY26" fmla="*/ 335543 h 604464"/>
            <a:gd name="connsiteX27" fmla="*/ 75855 w 524160"/>
            <a:gd name="connsiteY27" fmla="*/ 330275 h 604464"/>
            <a:gd name="connsiteX28" fmla="*/ 119562 w 524160"/>
            <a:gd name="connsiteY28" fmla="*/ 138469 h 604464"/>
            <a:gd name="connsiteX29" fmla="*/ 258218 w 524160"/>
            <a:gd name="connsiteY29" fmla="*/ 0 h 6044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</a:cxnLst>
          <a:rect l="l" t="t" r="r" b="b"/>
          <a:pathLst>
            <a:path w="524160" h="604464">
              <a:moveTo>
                <a:pt x="358198" y="384441"/>
              </a:moveTo>
              <a:cubicBezTo>
                <a:pt x="359988" y="384441"/>
                <a:pt x="361683" y="384723"/>
                <a:pt x="363284" y="385100"/>
              </a:cubicBezTo>
              <a:cubicBezTo>
                <a:pt x="363567" y="385194"/>
                <a:pt x="363849" y="385194"/>
                <a:pt x="364132" y="385288"/>
              </a:cubicBezTo>
              <a:cubicBezTo>
                <a:pt x="380144" y="389709"/>
                <a:pt x="400489" y="395823"/>
                <a:pt x="426109" y="405136"/>
              </a:cubicBezTo>
              <a:cubicBezTo>
                <a:pt x="502214" y="432509"/>
                <a:pt x="524160" y="460447"/>
                <a:pt x="524160" y="479543"/>
              </a:cubicBezTo>
              <a:lnTo>
                <a:pt x="524160" y="604464"/>
              </a:lnTo>
              <a:lnTo>
                <a:pt x="285578" y="604464"/>
              </a:lnTo>
              <a:cubicBezTo>
                <a:pt x="301873" y="561946"/>
                <a:pt x="325703" y="456779"/>
                <a:pt x="336629" y="406735"/>
              </a:cubicBezTo>
              <a:cubicBezTo>
                <a:pt x="336911" y="405700"/>
                <a:pt x="337194" y="404666"/>
                <a:pt x="337476" y="403631"/>
              </a:cubicBezTo>
              <a:cubicBezTo>
                <a:pt x="338324" y="392907"/>
                <a:pt x="347272" y="384441"/>
                <a:pt x="358198" y="384441"/>
              </a:cubicBezTo>
              <a:close/>
              <a:moveTo>
                <a:pt x="166011" y="384441"/>
              </a:moveTo>
              <a:cubicBezTo>
                <a:pt x="176940" y="384441"/>
                <a:pt x="185890" y="392907"/>
                <a:pt x="186738" y="403631"/>
              </a:cubicBezTo>
              <a:cubicBezTo>
                <a:pt x="187021" y="404666"/>
                <a:pt x="187304" y="405700"/>
                <a:pt x="187586" y="406735"/>
              </a:cubicBezTo>
              <a:cubicBezTo>
                <a:pt x="198516" y="456779"/>
                <a:pt x="222352" y="561946"/>
                <a:pt x="238652" y="604464"/>
              </a:cubicBezTo>
              <a:lnTo>
                <a:pt x="0" y="604464"/>
              </a:lnTo>
              <a:lnTo>
                <a:pt x="0" y="479543"/>
              </a:lnTo>
              <a:cubicBezTo>
                <a:pt x="0" y="460447"/>
                <a:pt x="21953" y="432509"/>
                <a:pt x="98080" y="405136"/>
              </a:cubicBezTo>
              <a:cubicBezTo>
                <a:pt x="123707" y="395823"/>
                <a:pt x="144058" y="389709"/>
                <a:pt x="159981" y="385288"/>
              </a:cubicBezTo>
              <a:cubicBezTo>
                <a:pt x="160263" y="385194"/>
                <a:pt x="160640" y="385194"/>
                <a:pt x="160923" y="385100"/>
              </a:cubicBezTo>
              <a:cubicBezTo>
                <a:pt x="162525" y="384723"/>
                <a:pt x="164220" y="384441"/>
                <a:pt x="166011" y="384441"/>
              </a:cubicBezTo>
              <a:close/>
              <a:moveTo>
                <a:pt x="258218" y="0"/>
              </a:moveTo>
              <a:lnTo>
                <a:pt x="265848" y="0"/>
              </a:lnTo>
              <a:cubicBezTo>
                <a:pt x="346950" y="0"/>
                <a:pt x="404504" y="57476"/>
                <a:pt x="404504" y="138469"/>
              </a:cubicBezTo>
              <a:cubicBezTo>
                <a:pt x="404504" y="298762"/>
                <a:pt x="466014" y="317858"/>
                <a:pt x="448305" y="330275"/>
              </a:cubicBezTo>
              <a:cubicBezTo>
                <a:pt x="444349" y="333003"/>
                <a:pt x="404881" y="334790"/>
                <a:pt x="344219" y="335543"/>
              </a:cubicBezTo>
              <a:cubicBezTo>
                <a:pt x="322554" y="349935"/>
                <a:pt x="293824" y="358684"/>
                <a:pt x="262268" y="358684"/>
              </a:cubicBezTo>
              <a:cubicBezTo>
                <a:pt x="230713" y="358684"/>
                <a:pt x="201889" y="349935"/>
                <a:pt x="180224" y="335543"/>
              </a:cubicBezTo>
              <a:cubicBezTo>
                <a:pt x="119373" y="334790"/>
                <a:pt x="79811" y="333003"/>
                <a:pt x="75855" y="330275"/>
              </a:cubicBezTo>
              <a:cubicBezTo>
                <a:pt x="58146" y="317858"/>
                <a:pt x="119562" y="298762"/>
                <a:pt x="119562" y="138469"/>
              </a:cubicBezTo>
              <a:cubicBezTo>
                <a:pt x="119562" y="57476"/>
                <a:pt x="177115" y="0"/>
                <a:pt x="258218" y="0"/>
              </a:cubicBezTo>
              <a:close/>
            </a:path>
          </a:pathLst>
        </a:custGeom>
        <a:gradFill>
          <a:gsLst>
            <a:gs pos="52000">
              <a:srgbClr val="1E86ED">
                <a:alpha val="49000"/>
              </a:srgbClr>
            </a:gs>
            <a:gs pos="0">
              <a:srgbClr val="1E86ED">
                <a:alpha val="0"/>
              </a:srgbClr>
            </a:gs>
            <a:gs pos="100000">
              <a:srgbClr val="1E86ED"/>
            </a:gs>
          </a:gsLst>
          <a:lin ang="16200000" scaled="1"/>
        </a:gradFill>
        <a:ln>
          <a:noFill/>
        </a:ln>
      </xdr:spPr>
      <xdr:txBody>
        <a:bodyPr wrap="square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zh-CN" altLang="en-US" sz="11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等线" panose="02010600030101010101" charset="-122"/>
          </a:endParaRPr>
        </a:p>
      </xdr:txBody>
    </xdr:sp>
    <xdr:clientData/>
  </xdr:twoCellAnchor>
  <xdr:twoCellAnchor>
    <xdr:from>
      <xdr:col>9</xdr:col>
      <xdr:colOff>434340</xdr:colOff>
      <xdr:row>8</xdr:row>
      <xdr:rowOff>209550</xdr:rowOff>
    </xdr:from>
    <xdr:to>
      <xdr:col>10</xdr:col>
      <xdr:colOff>495300</xdr:colOff>
      <xdr:row>10</xdr:row>
      <xdr:rowOff>99060</xdr:rowOff>
    </xdr:to>
    <xdr:sp textlink="数据!L14">
      <xdr:nvSpPr>
        <xdr:cNvPr id="31" name="文本框 30"/>
        <xdr:cNvSpPr txBox="1"/>
      </xdr:nvSpPr>
      <xdr:spPr>
        <a:xfrm>
          <a:off x="7498080" y="2927985"/>
          <a:ext cx="922020" cy="499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DFC2A60-1B1F-4FDF-852C-7630241FE40E}" type="TxLink">
            <a:rPr lang="en-US" altLang="en-US" sz="2800" b="1" i="0" u="none" strike="noStrike">
              <a:solidFill>
                <a:schemeClr val="bg1"/>
              </a:solidFill>
              <a:latin typeface="Arial" panose="020B0604020202020204"/>
              <a:cs typeface="Arial" panose="020B0604020202020204"/>
            </a:rPr>
          </a:fld>
          <a:endParaRPr lang="zh-CN" altLang="en-US" sz="36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411480</xdr:colOff>
      <xdr:row>11</xdr:row>
      <xdr:rowOff>179070</xdr:rowOff>
    </xdr:from>
    <xdr:to>
      <xdr:col>10</xdr:col>
      <xdr:colOff>472440</xdr:colOff>
      <xdr:row>13</xdr:row>
      <xdr:rowOff>68580</xdr:rowOff>
    </xdr:to>
    <xdr:sp textlink="数据!L15">
      <xdr:nvSpPr>
        <xdr:cNvPr id="21" name="文本框 20"/>
        <xdr:cNvSpPr txBox="1"/>
      </xdr:nvSpPr>
      <xdr:spPr>
        <a:xfrm>
          <a:off x="7475220" y="3811905"/>
          <a:ext cx="922020" cy="499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6873ABA-CBBE-4ABD-9098-71B13B33F181}" type="TxLink">
            <a:rPr lang="en-US" altLang="en-US" sz="2800" b="1" i="0" u="none" strike="noStrike">
              <a:solidFill>
                <a:schemeClr val="bg1"/>
              </a:solidFill>
              <a:latin typeface="Arial" panose="020B0604020202020204"/>
              <a:ea typeface="+mn-ea"/>
              <a:cs typeface="Arial" panose="020B0604020202020204"/>
            </a:rPr>
          </a:fld>
          <a:endParaRPr lang="zh-CN" altLang="en-US" sz="2800" b="1" i="0" u="none" strike="noStrike">
            <a:solidFill>
              <a:schemeClr val="bg1"/>
            </a:solidFill>
            <a:latin typeface="Arial" panose="020B0604020202020204"/>
            <a:ea typeface="+mn-ea"/>
            <a:cs typeface="Arial" panose="020B0604020202020204"/>
          </a:endParaRPr>
        </a:p>
      </xdr:txBody>
    </xdr:sp>
    <xdr:clientData/>
  </xdr:twoCellAnchor>
  <xdr:twoCellAnchor>
    <xdr:from>
      <xdr:col>8</xdr:col>
      <xdr:colOff>805814</xdr:colOff>
      <xdr:row>3</xdr:row>
      <xdr:rowOff>152398</xdr:rowOff>
    </xdr:from>
    <xdr:to>
      <xdr:col>10</xdr:col>
      <xdr:colOff>500062</xdr:colOff>
      <xdr:row>5</xdr:row>
      <xdr:rowOff>209549</xdr:rowOff>
    </xdr:to>
    <xdr:sp textlink="数据!L6">
      <xdr:nvSpPr>
        <xdr:cNvPr id="25" name="文本框 24"/>
        <xdr:cNvSpPr txBox="1"/>
      </xdr:nvSpPr>
      <xdr:spPr>
        <a:xfrm>
          <a:off x="7007860" y="1346200"/>
          <a:ext cx="1416685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26F8E3B-3028-4B13-A6AE-EF402A32B2FA}" type="TxLink">
            <a:rPr lang="en-US" altLang="en-US" sz="5400" b="1" i="0" u="none" strike="noStrike"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57800">
                    <a:srgbClr val="DAB441"/>
                  </a:gs>
                  <a:gs pos="100000">
                    <a:schemeClr val="accent4">
                      <a:lumMod val="75000"/>
                    </a:schemeClr>
                  </a:gs>
                </a:gsLst>
                <a:lin ang="0" scaled="1"/>
              </a:gradFill>
              <a:latin typeface="Arial" panose="020B0604020202020204"/>
              <a:ea typeface="+mn-ea"/>
              <a:cs typeface="Arial" panose="020B0604020202020204"/>
            </a:rPr>
          </a:fld>
          <a:endParaRPr lang="zh-CN" altLang="en-US" sz="5400" b="1" i="0" u="none" strike="noStrike"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57800">
                  <a:srgbClr val="DAB441"/>
                </a:gs>
                <a:gs pos="100000">
                  <a:schemeClr val="accent4">
                    <a:lumMod val="75000"/>
                  </a:schemeClr>
                </a:gs>
              </a:gsLst>
              <a:lin ang="0" scaled="1"/>
            </a:gradFill>
            <a:latin typeface="Arial" panose="020B0604020202020204"/>
            <a:ea typeface="+mn-ea"/>
            <a:cs typeface="Arial" panose="020B0604020202020204"/>
          </a:endParaRPr>
        </a:p>
      </xdr:txBody>
    </xdr:sp>
    <xdr:clientData/>
  </xdr:twoCellAnchor>
  <xdr:twoCellAnchor>
    <xdr:from>
      <xdr:col>9</xdr:col>
      <xdr:colOff>165735</xdr:colOff>
      <xdr:row>5</xdr:row>
      <xdr:rowOff>123825</xdr:rowOff>
    </xdr:from>
    <xdr:to>
      <xdr:col>10</xdr:col>
      <xdr:colOff>226695</xdr:colOff>
      <xdr:row>7</xdr:row>
      <xdr:rowOff>13335</xdr:rowOff>
    </xdr:to>
    <xdr:sp textlink="数据!K6">
      <xdr:nvSpPr>
        <xdr:cNvPr id="26" name="文本框 25"/>
        <xdr:cNvSpPr txBox="1"/>
      </xdr:nvSpPr>
      <xdr:spPr>
        <a:xfrm>
          <a:off x="7229475" y="1927860"/>
          <a:ext cx="922020" cy="499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D66FF1E-41AC-461C-A9C1-60599330636D}" type="TxLink">
            <a:rPr lang="zh-CN" altLang="en-US" sz="1200" b="1" i="0" u="none" strike="noStrike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/>
            </a:rPr>
          </a:fld>
          <a:endParaRPr lang="zh-CN" altLang="en-US" sz="48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0</xdr:col>
      <xdr:colOff>552452</xdr:colOff>
      <xdr:row>9</xdr:row>
      <xdr:rowOff>61913</xdr:rowOff>
    </xdr:from>
    <xdr:to>
      <xdr:col>4</xdr:col>
      <xdr:colOff>798514</xdr:colOff>
      <xdr:row>15</xdr:row>
      <xdr:rowOff>38100</xdr:rowOff>
    </xdr:to>
    <xdr:graphicFrame>
      <xdr:nvGraphicFramePr>
        <xdr:cNvPr id="27" name="图表 26"/>
        <xdr:cNvGraphicFramePr/>
      </xdr:nvGraphicFramePr>
      <xdr:xfrm>
        <a:off x="552450" y="3084830"/>
        <a:ext cx="3004185" cy="1805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448627</xdr:colOff>
      <xdr:row>8</xdr:row>
      <xdr:rowOff>280988</xdr:rowOff>
    </xdr:from>
    <xdr:to>
      <xdr:col>2</xdr:col>
      <xdr:colOff>333374</xdr:colOff>
      <xdr:row>10</xdr:row>
      <xdr:rowOff>170498</xdr:rowOff>
    </xdr:to>
    <xdr:sp textlink="数据!L5">
      <xdr:nvSpPr>
        <xdr:cNvPr id="28" name="文本框 27"/>
        <xdr:cNvSpPr txBox="1"/>
      </xdr:nvSpPr>
      <xdr:spPr>
        <a:xfrm>
          <a:off x="448310" y="2999105"/>
          <a:ext cx="920750" cy="499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FE9ECEB-C327-4B48-B334-813D87BE594B}" type="TxLink">
            <a:rPr lang="en-US" altLang="en-US" sz="1100" b="0" i="0" u="none" strike="noStrike">
              <a:solidFill>
                <a:schemeClr val="bg1"/>
              </a:solidFill>
              <a:latin typeface="Arial" panose="020B0604020202020204"/>
              <a:cs typeface="Arial" panose="020B0604020202020204"/>
            </a:rPr>
          </a:fld>
          <a:endParaRPr lang="zh-CN" altLang="en-US" sz="4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777241</xdr:colOff>
      <xdr:row>9</xdr:row>
      <xdr:rowOff>157163</xdr:rowOff>
    </xdr:from>
    <xdr:to>
      <xdr:col>2</xdr:col>
      <xdr:colOff>661988</xdr:colOff>
      <xdr:row>11</xdr:row>
      <xdr:rowOff>46673</xdr:rowOff>
    </xdr:to>
    <xdr:sp textlink="数据!L4">
      <xdr:nvSpPr>
        <xdr:cNvPr id="32" name="文本框 31"/>
        <xdr:cNvSpPr txBox="1"/>
      </xdr:nvSpPr>
      <xdr:spPr>
        <a:xfrm>
          <a:off x="777240" y="3180080"/>
          <a:ext cx="920750" cy="499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25BC581-2A00-4239-8831-F5452EA4241F}" type="TxLink">
            <a:rPr lang="en-US" altLang="en-US" sz="1100" b="0" i="0" u="none" strike="noStrike">
              <a:solidFill>
                <a:schemeClr val="bg1"/>
              </a:solidFill>
              <a:latin typeface="Arial" panose="020B0604020202020204"/>
              <a:cs typeface="Arial" panose="020B0604020202020204"/>
            </a:rPr>
          </a:fld>
          <a:endParaRPr lang="zh-CN" altLang="en-US" sz="5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357186</xdr:colOff>
      <xdr:row>9</xdr:row>
      <xdr:rowOff>57150</xdr:rowOff>
    </xdr:from>
    <xdr:to>
      <xdr:col>1</xdr:col>
      <xdr:colOff>19048</xdr:colOff>
      <xdr:row>10</xdr:row>
      <xdr:rowOff>47625</xdr:rowOff>
    </xdr:to>
    <xdr:sp>
      <xdr:nvSpPr>
        <xdr:cNvPr id="10" name="文本框 9"/>
        <xdr:cNvSpPr txBox="1"/>
      </xdr:nvSpPr>
      <xdr:spPr>
        <a:xfrm>
          <a:off x="356870" y="3080385"/>
          <a:ext cx="52260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未婚</a:t>
          </a:r>
          <a:endParaRPr lang="zh-CN" altLang="en-US" sz="10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0</xdr:col>
      <xdr:colOff>700087</xdr:colOff>
      <xdr:row>9</xdr:row>
      <xdr:rowOff>247650</xdr:rowOff>
    </xdr:from>
    <xdr:to>
      <xdr:col>2</xdr:col>
      <xdr:colOff>185737</xdr:colOff>
      <xdr:row>10</xdr:row>
      <xdr:rowOff>238125</xdr:rowOff>
    </xdr:to>
    <xdr:sp>
      <xdr:nvSpPr>
        <xdr:cNvPr id="33" name="文本框 32"/>
        <xdr:cNvSpPr txBox="1"/>
      </xdr:nvSpPr>
      <xdr:spPr>
        <a:xfrm>
          <a:off x="699770" y="3270885"/>
          <a:ext cx="52197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已婚</a:t>
          </a:r>
          <a:endParaRPr lang="zh-CN" altLang="en-US" sz="10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128954</xdr:colOff>
      <xdr:row>0</xdr:row>
      <xdr:rowOff>0</xdr:rowOff>
    </xdr:from>
    <xdr:to>
      <xdr:col>9</xdr:col>
      <xdr:colOff>474785</xdr:colOff>
      <xdr:row>1</xdr:row>
      <xdr:rowOff>504092</xdr:rowOff>
    </xdr:to>
    <xdr:sp>
      <xdr:nvSpPr>
        <xdr:cNvPr id="34" name="梯形 33"/>
        <xdr:cNvSpPr/>
      </xdr:nvSpPr>
      <xdr:spPr>
        <a:xfrm flipV="1">
          <a:off x="1165225" y="0"/>
          <a:ext cx="6372860" cy="808355"/>
        </a:xfrm>
        <a:prstGeom prst="trapezoid">
          <a:avLst>
            <a:gd name="adj" fmla="val 46792"/>
          </a:avLst>
        </a:prstGeom>
        <a:gradFill>
          <a:gsLst>
            <a:gs pos="0">
              <a:srgbClr val="00B0F0">
                <a:alpha val="17000"/>
              </a:srgbClr>
            </a:gs>
            <a:gs pos="49000">
              <a:srgbClr val="00B0F0">
                <a:alpha val="0"/>
              </a:srgbClr>
            </a:gs>
            <a:gs pos="100000">
              <a:srgbClr val="00B0F0">
                <a:alpha val="28000"/>
              </a:srgbClr>
            </a:gs>
          </a:gsLst>
          <a:lin ang="0" scaled="1"/>
        </a:gra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等线" panose="02010600030101010101" charset="-122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2</xdr:col>
      <xdr:colOff>504093</xdr:colOff>
      <xdr:row>1</xdr:row>
      <xdr:rowOff>504092</xdr:rowOff>
    </xdr:from>
    <xdr:to>
      <xdr:col>4</xdr:col>
      <xdr:colOff>838200</xdr:colOff>
      <xdr:row>1</xdr:row>
      <xdr:rowOff>504092</xdr:rowOff>
    </xdr:to>
    <xdr:cxnSp>
      <xdr:nvCxnSpPr>
        <xdr:cNvPr id="13" name="直接连接符 12"/>
        <xdr:cNvCxnSpPr/>
      </xdr:nvCxnSpPr>
      <xdr:spPr>
        <a:xfrm>
          <a:off x="1539875" y="808355"/>
          <a:ext cx="2056765" cy="0"/>
        </a:xfrm>
        <a:prstGeom prst="line">
          <a:avLst/>
        </a:prstGeom>
        <a:ln w="15875">
          <a:gradFill flip="none" rotWithShape="1">
            <a:gsLst>
              <a:gs pos="0">
                <a:srgbClr val="00B0F0"/>
              </a:gs>
              <a:gs pos="100000">
                <a:srgbClr val="00B0F0">
                  <a:alpha val="0"/>
                </a:srgbClr>
              </a:gs>
            </a:gsLst>
            <a:lin ang="0" scaled="1"/>
            <a:tileRect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638907</xdr:colOff>
      <xdr:row>1</xdr:row>
      <xdr:rowOff>498231</xdr:rowOff>
    </xdr:from>
    <xdr:to>
      <xdr:col>9</xdr:col>
      <xdr:colOff>111369</xdr:colOff>
      <xdr:row>1</xdr:row>
      <xdr:rowOff>498231</xdr:rowOff>
    </xdr:to>
    <xdr:cxnSp>
      <xdr:nvCxnSpPr>
        <xdr:cNvPr id="35" name="直接连接符 34"/>
        <xdr:cNvCxnSpPr/>
      </xdr:nvCxnSpPr>
      <xdr:spPr>
        <a:xfrm flipH="1">
          <a:off x="5119370" y="802640"/>
          <a:ext cx="2055495" cy="0"/>
        </a:xfrm>
        <a:prstGeom prst="line">
          <a:avLst/>
        </a:prstGeom>
        <a:ln w="15875">
          <a:gradFill flip="none" rotWithShape="1">
            <a:gsLst>
              <a:gs pos="0">
                <a:srgbClr val="00B0F0"/>
              </a:gs>
              <a:gs pos="100000">
                <a:srgbClr val="00B0F0">
                  <a:alpha val="0"/>
                </a:srgbClr>
              </a:gs>
            </a:gsLst>
            <a:lin ang="0" scaled="1"/>
            <a:tileRect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394335</xdr:colOff>
      <xdr:row>15</xdr:row>
      <xdr:rowOff>276225</xdr:rowOff>
    </xdr:from>
    <xdr:to>
      <xdr:col>10</xdr:col>
      <xdr:colOff>455295</xdr:colOff>
      <xdr:row>17</xdr:row>
      <xdr:rowOff>165735</xdr:rowOff>
    </xdr:to>
    <xdr:sp textlink="数据!H10">
      <xdr:nvSpPr>
        <xdr:cNvPr id="36" name="文本框 35"/>
        <xdr:cNvSpPr txBox="1"/>
      </xdr:nvSpPr>
      <xdr:spPr>
        <a:xfrm>
          <a:off x="7458075" y="5128260"/>
          <a:ext cx="922020" cy="499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D68D68A-AC61-4E19-9CFC-CEEEBD004856}" type="TxLink">
            <a:rPr lang="zh-CN" altLang="en-US" sz="1200" b="1" i="0" u="none" strike="noStrike">
              <a:solidFill>
                <a:schemeClr val="bg1"/>
              </a:solidFill>
              <a:latin typeface="Arial" panose="020B0604020202020204"/>
              <a:ea typeface="微软雅黑" panose="020B0503020204020204" pitchFamily="34" charset="-122"/>
              <a:cs typeface="Arial" panose="020B0604020202020204"/>
            </a:rPr>
          </a:fld>
          <a:endParaRPr lang="zh-CN" altLang="en-US" sz="44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0.20422</cdr:x>
      <cdr:y>0.09763</cdr:y>
    </cdr:from>
    <cdr:to>
      <cdr:x>0.47652</cdr:x>
      <cdr:y>0.09763</cdr:y>
    </cdr:to>
    <cdr:cxnSp>
      <cdr:nvCxnSpPr>
        <cdr:cNvPr id="2" name="直接连接符 1"/>
        <cdr:cNvCxnSpPr/>
      </cdr:nvCxnSpPr>
      <cdr:spPr xmlns:a="http://schemas.openxmlformats.org/drawingml/2006/main">
        <a:xfrm xmlns:a="http://schemas.openxmlformats.org/drawingml/2006/main" flipH="1">
          <a:off x="614361" y="176212"/>
          <a:ext cx="819151" cy="0"/>
        </a:xfrm>
        <a:prstGeom xmlns:a="http://schemas.openxmlformats.org/drawingml/2006/main" prst="line">
          <a:avLst/>
        </a:prstGeom>
        <a:ln w="6350">
          <a:solidFill>
            <a:schemeClr val="bg1">
              <a:lumMod val="75000"/>
              <a:alpha val="66000"/>
            </a:schemeClr>
          </a:solidFill>
          <a:tailEnd type="oval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0.30554</cdr:x>
      <cdr:y>0.18206</cdr:y>
    </cdr:from>
    <cdr:to>
      <cdr:x>0.47493</cdr:x>
      <cdr:y>0.18206</cdr:y>
    </cdr:to>
    <cdr:cxnSp>
      <cdr:nvCxnSpPr>
        <cdr:cNvPr id="3" name="直接连接符 2"/>
        <cdr:cNvCxnSpPr/>
      </cdr:nvCxnSpPr>
      <cdr:spPr xmlns:a="http://schemas.openxmlformats.org/drawingml/2006/main">
        <a:xfrm xmlns:a="http://schemas.openxmlformats.org/drawingml/2006/main" flipH="1">
          <a:off x="919161" y="328612"/>
          <a:ext cx="509587" cy="0"/>
        </a:xfrm>
        <a:prstGeom xmlns:a="http://schemas.openxmlformats.org/drawingml/2006/main" prst="line">
          <a:avLst/>
        </a:prstGeom>
        <a:ln w="9525">
          <a:solidFill>
            <a:schemeClr val="bg1">
              <a:lumMod val="75000"/>
              <a:alpha val="78000"/>
            </a:schemeClr>
          </a:solidFill>
          <a:tailEnd type="oval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等线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等线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等线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等线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等线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等线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等线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15"/>
  <sheetViews>
    <sheetView showGridLines="0" zoomScale="130" zoomScaleNormal="130" workbookViewId="0">
      <selection activeCell="N14" sqref="N14"/>
    </sheetView>
  </sheetViews>
  <sheetFormatPr defaultColWidth="12.5555555555556" defaultRowHeight="24" customHeight="1"/>
  <cols>
    <col min="2" max="3" width="12.5555555555556" style="4"/>
    <col min="4" max="4" width="1.55555555555556" style="4" customWidth="1"/>
    <col min="5" max="6" width="12.5555555555556" style="4"/>
    <col min="7" max="7" width="1.55555555555556" customWidth="1"/>
    <col min="10" max="10" width="1.55555555555556" customWidth="1"/>
    <col min="13" max="13" width="18.6666666666667" customWidth="1"/>
  </cols>
  <sheetData>
    <row r="1" ht="36.45" customHeight="1" spans="2:12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customHeight="1" spans="2:12">
      <c r="B2" s="6" t="s">
        <v>1</v>
      </c>
      <c r="C2" s="6"/>
      <c r="D2" s="7"/>
      <c r="E2" s="6" t="s">
        <v>2</v>
      </c>
      <c r="F2" s="6"/>
      <c r="G2" s="7"/>
      <c r="H2" s="6" t="s">
        <v>3</v>
      </c>
      <c r="I2" s="6"/>
      <c r="J2" s="7"/>
      <c r="K2" s="6" t="s">
        <v>4</v>
      </c>
      <c r="L2" s="6"/>
    </row>
    <row r="3" customHeight="1" spans="2:13">
      <c r="B3" s="7" t="s">
        <v>5</v>
      </c>
      <c r="C3" s="7" t="s">
        <v>6</v>
      </c>
      <c r="D3" s="7"/>
      <c r="E3" s="7" t="s">
        <v>7</v>
      </c>
      <c r="F3" s="7" t="s">
        <v>6</v>
      </c>
      <c r="G3" s="7"/>
      <c r="H3" s="7" t="s">
        <v>8</v>
      </c>
      <c r="I3" s="7" t="s">
        <v>6</v>
      </c>
      <c r="J3" s="7"/>
      <c r="K3" s="7" t="s">
        <v>9</v>
      </c>
      <c r="L3" s="7" t="s">
        <v>6</v>
      </c>
      <c r="M3" s="9" t="s">
        <v>10</v>
      </c>
    </row>
    <row r="4" customHeight="1" spans="2:13">
      <c r="B4" s="7" t="s">
        <v>11</v>
      </c>
      <c r="C4" s="7">
        <f ca="1">RANDBETWEEN(4,50)</f>
        <v>34</v>
      </c>
      <c r="D4" s="7"/>
      <c r="E4" s="7" t="s">
        <v>12</v>
      </c>
      <c r="F4" s="7">
        <v>25</v>
      </c>
      <c r="G4" s="7"/>
      <c r="H4" s="7" t="s">
        <v>13</v>
      </c>
      <c r="I4" s="7">
        <f ca="1">RANDBETWEEN(4,50)</f>
        <v>16</v>
      </c>
      <c r="J4" s="7"/>
      <c r="K4" s="7" t="s">
        <v>14</v>
      </c>
      <c r="L4" s="7">
        <v>100</v>
      </c>
      <c r="M4" s="4">
        <f>L6-L5</f>
        <v>100</v>
      </c>
    </row>
    <row r="5" customHeight="1" spans="2:13">
      <c r="B5" s="7" t="s">
        <v>15</v>
      </c>
      <c r="C5" s="7">
        <f ca="1" t="shared" ref="C5:C13" si="0">RANDBETWEEN(4,50)</f>
        <v>28</v>
      </c>
      <c r="D5" s="7"/>
      <c r="E5" s="7" t="s">
        <v>16</v>
      </c>
      <c r="F5" s="7">
        <v>45</v>
      </c>
      <c r="G5" s="7"/>
      <c r="H5" s="7" t="s">
        <v>17</v>
      </c>
      <c r="I5" s="7">
        <f ca="1">RANDBETWEEN(4,50)</f>
        <v>49</v>
      </c>
      <c r="J5" s="7"/>
      <c r="K5" s="7" t="s">
        <v>18</v>
      </c>
      <c r="L5" s="7">
        <v>150</v>
      </c>
      <c r="M5" s="4">
        <f>L6-L5</f>
        <v>100</v>
      </c>
    </row>
    <row r="6" customHeight="1" spans="2:12">
      <c r="B6" s="7" t="s">
        <v>19</v>
      </c>
      <c r="C6" s="7">
        <f ca="1" t="shared" si="0"/>
        <v>49</v>
      </c>
      <c r="D6" s="7"/>
      <c r="E6" s="7" t="s">
        <v>20</v>
      </c>
      <c r="F6" s="7">
        <v>50</v>
      </c>
      <c r="G6" s="7"/>
      <c r="H6" s="7" t="s">
        <v>21</v>
      </c>
      <c r="I6" s="7">
        <f ca="1" t="shared" ref="I6:I8" si="1">RANDBETWEEN(4,50)</f>
        <v>9</v>
      </c>
      <c r="J6" s="7"/>
      <c r="K6" s="7" t="s">
        <v>22</v>
      </c>
      <c r="L6" s="7">
        <f>SUM(L4:L5)</f>
        <v>250</v>
      </c>
    </row>
    <row r="7" customHeight="1" spans="2:12">
      <c r="B7" s="7" t="s">
        <v>23</v>
      </c>
      <c r="C7" s="7">
        <f ca="1" t="shared" si="0"/>
        <v>4</v>
      </c>
      <c r="D7" s="7"/>
      <c r="E7" s="7" t="s">
        <v>24</v>
      </c>
      <c r="F7" s="7">
        <v>36</v>
      </c>
      <c r="G7" s="7"/>
      <c r="H7" s="7" t="s">
        <v>25</v>
      </c>
      <c r="I7" s="7">
        <f ca="1" t="shared" si="1"/>
        <v>33</v>
      </c>
      <c r="J7" s="7"/>
      <c r="K7" s="6" t="s">
        <v>26</v>
      </c>
      <c r="L7" s="6"/>
    </row>
    <row r="8" customHeight="1" spans="2:12">
      <c r="B8" s="7" t="s">
        <v>27</v>
      </c>
      <c r="C8" s="7">
        <f ca="1" t="shared" si="0"/>
        <v>38</v>
      </c>
      <c r="D8" s="7"/>
      <c r="E8" s="7" t="s">
        <v>28</v>
      </c>
      <c r="F8" s="7">
        <v>50</v>
      </c>
      <c r="G8" s="7"/>
      <c r="H8" s="7" t="s">
        <v>29</v>
      </c>
      <c r="I8" s="7">
        <f ca="1" t="shared" si="1"/>
        <v>15</v>
      </c>
      <c r="J8" s="7"/>
      <c r="K8" s="10" t="s">
        <v>30</v>
      </c>
      <c r="L8" s="7" t="s">
        <v>6</v>
      </c>
    </row>
    <row r="9" customHeight="1" spans="2:12">
      <c r="B9" s="7" t="s">
        <v>31</v>
      </c>
      <c r="C9" s="7">
        <f ca="1" t="shared" si="0"/>
        <v>37</v>
      </c>
      <c r="D9" s="7"/>
      <c r="E9" s="7" t="s">
        <v>32</v>
      </c>
      <c r="F9" s="7">
        <v>25</v>
      </c>
      <c r="G9" s="7"/>
      <c r="H9" s="7"/>
      <c r="I9" s="7"/>
      <c r="J9" s="7"/>
      <c r="K9" s="7" t="s">
        <v>33</v>
      </c>
      <c r="L9" s="7">
        <v>180</v>
      </c>
    </row>
    <row r="10" customHeight="1" spans="2:12">
      <c r="B10" s="7" t="s">
        <v>34</v>
      </c>
      <c r="C10" s="7">
        <f ca="1" t="shared" si="0"/>
        <v>18</v>
      </c>
      <c r="D10" s="7"/>
      <c r="E10" s="7" t="s">
        <v>35</v>
      </c>
      <c r="F10" s="7">
        <v>12</v>
      </c>
      <c r="G10" s="7"/>
      <c r="H10" s="8" t="s">
        <v>36</v>
      </c>
      <c r="I10" s="11"/>
      <c r="J10" s="7"/>
      <c r="K10" s="7" t="s">
        <v>37</v>
      </c>
      <c r="L10" s="7">
        <v>70</v>
      </c>
    </row>
    <row r="11" customHeight="1" spans="2:12">
      <c r="B11" s="7" t="s">
        <v>38</v>
      </c>
      <c r="C11" s="7">
        <f ca="1" t="shared" si="0"/>
        <v>18</v>
      </c>
      <c r="D11" s="7"/>
      <c r="E11" s="7" t="s">
        <v>39</v>
      </c>
      <c r="F11" s="7">
        <v>6</v>
      </c>
      <c r="G11" s="7"/>
      <c r="H11" s="7" t="s">
        <v>40</v>
      </c>
      <c r="I11" s="7">
        <v>65</v>
      </c>
      <c r="J11" s="7"/>
      <c r="K11" s="7"/>
      <c r="L11" s="7"/>
    </row>
    <row r="12" customHeight="1" spans="2:12">
      <c r="B12" s="7" t="s">
        <v>41</v>
      </c>
      <c r="C12" s="7">
        <f ca="1" t="shared" si="0"/>
        <v>25</v>
      </c>
      <c r="D12" s="7"/>
      <c r="E12" s="7"/>
      <c r="F12" s="7"/>
      <c r="G12" s="7"/>
      <c r="H12" s="7" t="s">
        <v>42</v>
      </c>
      <c r="I12" s="7">
        <v>55</v>
      </c>
      <c r="J12" s="7"/>
      <c r="K12" s="6" t="s">
        <v>43</v>
      </c>
      <c r="L12" s="6"/>
    </row>
    <row r="13" customHeight="1" spans="2:12">
      <c r="B13" s="7" t="s">
        <v>44</v>
      </c>
      <c r="C13" s="7">
        <f ca="1" t="shared" si="0"/>
        <v>15</v>
      </c>
      <c r="D13" s="7"/>
      <c r="E13" s="7"/>
      <c r="F13" s="7"/>
      <c r="G13" s="7"/>
      <c r="H13" s="7" t="s">
        <v>45</v>
      </c>
      <c r="I13" s="7">
        <v>38</v>
      </c>
      <c r="J13" s="7"/>
      <c r="K13" s="10" t="s">
        <v>46</v>
      </c>
      <c r="L13" s="7" t="s">
        <v>6</v>
      </c>
    </row>
    <row r="14" customHeight="1" spans="2:12">
      <c r="B14" s="7"/>
      <c r="C14" s="7"/>
      <c r="D14" s="7"/>
      <c r="E14" s="7"/>
      <c r="F14" s="7"/>
      <c r="G14" s="7"/>
      <c r="H14" s="7" t="s">
        <v>47</v>
      </c>
      <c r="I14" s="7">
        <v>24</v>
      </c>
      <c r="J14" s="7"/>
      <c r="K14" s="10" t="s">
        <v>48</v>
      </c>
      <c r="L14" s="7">
        <v>140</v>
      </c>
    </row>
    <row r="15" customHeight="1" spans="2:12">
      <c r="B15" s="7"/>
      <c r="C15" s="7"/>
      <c r="D15" s="7"/>
      <c r="E15" s="7"/>
      <c r="F15" s="7"/>
      <c r="G15" s="7"/>
      <c r="H15" s="7" t="s">
        <v>49</v>
      </c>
      <c r="I15" s="7">
        <v>12</v>
      </c>
      <c r="J15" s="7"/>
      <c r="K15" s="10" t="s">
        <v>50</v>
      </c>
      <c r="L15" s="7">
        <v>110</v>
      </c>
    </row>
  </sheetData>
  <mergeCells count="8">
    <mergeCell ref="B1:L1"/>
    <mergeCell ref="B2:C2"/>
    <mergeCell ref="E2:F2"/>
    <mergeCell ref="H2:I2"/>
    <mergeCell ref="K2:L2"/>
    <mergeCell ref="K7:L7"/>
    <mergeCell ref="H10:I10"/>
    <mergeCell ref="K12:L12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showGridLines="0" tabSelected="1" workbookViewId="0">
      <selection activeCell="F25" sqref="F25"/>
    </sheetView>
  </sheetViews>
  <sheetFormatPr defaultColWidth="12.5555555555556" defaultRowHeight="24" customHeight="1"/>
  <cols>
    <col min="2" max="2" width="2.55555555555556" customWidth="1"/>
  </cols>
  <sheetData>
    <row r="1" customHeight="1" spans="1:11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46.05" customHeight="1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Height="1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Height="1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customHeight="1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customHeight="1" spans="1:1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customHeight="1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customHeight="1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customHeight="1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customHeight="1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customHeight="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customHeight="1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customHeight="1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customHeight="1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Height="1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customHeight="1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customHeight="1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customHeight="1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customHeight="1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customHeight="1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Height="1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customHeight="1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</sheetData>
  <mergeCells count="1">
    <mergeCell ref="A1:K2"/>
  </mergeCells>
  <pageMargins left="0.7" right="0.7" top="0.75" bottom="0.75" header="0.3" footer="0.3"/>
  <pageSetup paperSize="9" orientation="landscape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看板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雨杉</cp:lastModifiedBy>
  <dcterms:created xsi:type="dcterms:W3CDTF">2020-10-14T08:22:00Z</dcterms:created>
  <dcterms:modified xsi:type="dcterms:W3CDTF">2021-09-02T07:42:22Z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148191D492C2447582F071FB48D6C4AD</vt:lpwstr>
  </property>
  <property fmtid="{D5CDD505-2E9C-101B-9397-08002B2CF9AE}" pid="3" name="KSOProductBuildVer">
    <vt:lpwstr>2052-11.1.0.10700</vt:lpwstr>
  </property>
  <property fmtid="{D5CDD505-2E9C-101B-9397-08002B2CF9AE}" pid="4" name="KSOTemplateUUID">
    <vt:lpwstr>v1.0_mb_D33P/49ZFU9FH5pz9DDBXg==</vt:lpwstr>
  </property>
</Properties>
</file>